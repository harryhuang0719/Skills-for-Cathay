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ey 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COGS &amp; OpEx" sheetId="4" state="visible" r:id="rId4"/>
    <sheet xmlns:r="http://schemas.openxmlformats.org/officeDocument/2006/relationships" name="Income Statement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 Statement" sheetId="7" state="visible" r:id="rId7"/>
    <sheet xmlns:r="http://schemas.openxmlformats.org/officeDocument/2006/relationships" name="Working Capital" sheetId="8" state="visible" r:id="rId8"/>
    <sheet xmlns:r="http://schemas.openxmlformats.org/officeDocument/2006/relationships" name="Debt &amp; CapEx" sheetId="9" state="visible" r:id="rId9"/>
    <sheet xmlns:r="http://schemas.openxmlformats.org/officeDocument/2006/relationships" name="Returns &amp; Sensitivity" sheetId="10" state="visible" r:id="rId10"/>
    <sheet xmlns:r="http://schemas.openxmlformats.org/officeDocument/2006/relationships" name="DCF Valuation" sheetId="11" state="visible" r:id="rId11"/>
    <sheet xmlns:r="http://schemas.openxmlformats.org/officeDocument/2006/relationships" name="Comps" sheetId="12" state="visible" r:id="rId12"/>
    <sheet xmlns:r="http://schemas.openxmlformats.org/officeDocument/2006/relationships" name="Dashboard" sheetId="13" state="visible" r:id="rId13"/>
  </sheets>
  <definedNames>
    <definedName name="_xlnm.Print_Area" localSheetId="0">'Cover'!$A$1:$L$9</definedName>
    <definedName name="_xlnm.Print_Area" localSheetId="1">'Key Assumptions'!$A$1:$L$68</definedName>
    <definedName name="_xlnm.Print_Area" localSheetId="2">'Revenue Build-up'!$A$1:$L$32</definedName>
    <definedName name="_xlnm.Print_Area" localSheetId="3">'COGS &amp; OpEx'!$A$1:$L$38</definedName>
    <definedName name="_xlnm.Print_Area" localSheetId="4">'Income Statement'!$A$1:$L$34</definedName>
    <definedName name="_xlnm.Print_Area" localSheetId="5">'Balance Sheet'!$A$1:$L$45</definedName>
    <definedName name="_xlnm.Print_Area" localSheetId="6">'Cash Flow Statement'!$A$1:$L$34</definedName>
    <definedName name="_xlnm.Print_Area" localSheetId="7">'Working Capital'!$A$1:$L$22</definedName>
    <definedName name="_xlnm.Print_Area" localSheetId="8">'Debt &amp; CapEx'!$A$1:$L$36</definedName>
    <definedName name="_xlnm.Print_Area" localSheetId="9">'Returns &amp; Sensitivity'!$A$1:$L$44</definedName>
    <definedName name="_xlnm.Print_Area" localSheetId="10">'DCF Valuation'!$A$1:$L$42</definedName>
    <definedName name="_xlnm.Print_Area" localSheetId="11">'Comps'!$A$1:$L$30</definedName>
    <definedName name="_xlnm.Print_Area" localSheetId="12">'Dashboard'!$A$1:$L$26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x"/>
    <numFmt numFmtId="165" formatCode="0.0%"/>
  </numFmts>
  <fonts count="8">
    <font>
      <name val="Calibri"/>
      <family val="2"/>
      <color theme="1"/>
      <sz val="11"/>
      <scheme val="minor"/>
    </font>
    <font>
      <name val="Calibri"/>
      <color rgb="001A1A1A"/>
      <sz val="10"/>
    </font>
    <font>
      <name val="Calibri"/>
      <color rgb="000070C0"/>
      <sz val="10"/>
    </font>
    <font>
      <name val="Calibri"/>
      <b val="1"/>
      <color rgb="00FFFFFF"/>
      <sz val="11"/>
    </font>
    <font>
      <name val="Calibri"/>
      <b val="1"/>
      <color rgb="001A1A1A"/>
      <sz val="10"/>
    </font>
    <font>
      <name val="Calibri"/>
      <color rgb="00808080"/>
      <sz val="9"/>
    </font>
    <font>
      <name val="Calibri"/>
      <b val="1"/>
      <color rgb="00800000"/>
      <sz val="10"/>
    </font>
    <font>
      <name val="Calibri"/>
      <color rgb="0000B050"/>
      <sz val="10"/>
    </font>
  </fonts>
  <fills count="6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BE9E8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right style="medium">
        <color rgb="001A1A1A"/>
      </right>
    </border>
    <border>
      <top style="thin">
        <color rgb="001A1A1A"/>
      </top>
      <bottom style="double">
        <color rgb="001A1A1A"/>
      </bottom>
    </border>
    <border>
      <left/>
      <right style="medium">
        <color rgb="001A1A1A"/>
      </right>
      <top/>
      <bottom/>
    </border>
    <border>
      <right style="medium">
        <color rgb="001A1A1A"/>
      </right>
      <top style="thin">
        <color rgb="001A1A1A"/>
      </top>
      <bottom style="double">
        <color rgb="001A1A1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pivotButton="0" quotePrefix="0" xfId="0"/>
    <xf numFmtId="1" fontId="4" fillId="0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3" pivotButton="0" quotePrefix="0" xfId="0"/>
    <xf numFmtId="0" fontId="2" fillId="0" borderId="3" pivotButton="0" quotePrefix="0" xfId="0"/>
    <xf numFmtId="0" fontId="2" fillId="4" borderId="0" pivotButton="0" quotePrefix="0" xfId="0"/>
    <xf numFmtId="0" fontId="2" fillId="4" borderId="3" pivotButton="0" quotePrefix="0" xfId="0"/>
    <xf numFmtId="0" fontId="1" fillId="4" borderId="0" pivotButton="0" quotePrefix="0" xfId="0"/>
    <xf numFmtId="0" fontId="5" fillId="0" borderId="0" applyAlignment="1" pivotButton="0" quotePrefix="0" xfId="0">
      <alignment horizontal="center" vertical="center"/>
    </xf>
    <xf numFmtId="164" fontId="2" fillId="0" borderId="0" pivotButton="0" quotePrefix="0" xfId="0"/>
    <xf numFmtId="164" fontId="2" fillId="0" borderId="3" pivotButton="0" quotePrefix="0" xfId="0"/>
    <xf numFmtId="164" fontId="1" fillId="0" borderId="0" pivotButton="0" quotePrefix="0" xfId="0"/>
    <xf numFmtId="0" fontId="0" fillId="0" borderId="3" pivotButton="0" quotePrefix="0" xfId="0"/>
    <xf numFmtId="0" fontId="6" fillId="3" borderId="0" applyAlignment="1" pivotButton="0" quotePrefix="0" xfId="0">
      <alignment horizontal="left" vertical="center"/>
    </xf>
    <xf numFmtId="0" fontId="0" fillId="3" borderId="0" pivotButton="0" quotePrefix="0" xfId="0"/>
    <xf numFmtId="3" fontId="2" fillId="0" borderId="0" pivotButton="0" quotePrefix="0" xfId="0"/>
    <xf numFmtId="3" fontId="2" fillId="0" borderId="3" pivotButton="0" quotePrefix="0" xfId="0"/>
    <xf numFmtId="3" fontId="1" fillId="0" borderId="0" pivotButton="0" quotePrefix="0" xfId="0"/>
    <xf numFmtId="3" fontId="2" fillId="4" borderId="0" pivotButton="0" quotePrefix="0" xfId="0"/>
    <xf numFmtId="3" fontId="2" fillId="4" borderId="3" pivotButton="0" quotePrefix="0" xfId="0"/>
    <xf numFmtId="3" fontId="1" fillId="4" borderId="0" pivotButton="0" quotePrefix="0" xfId="0"/>
    <xf numFmtId="165" fontId="2" fillId="0" borderId="0" pivotButton="0" quotePrefix="0" xfId="0"/>
    <xf numFmtId="165" fontId="2" fillId="0" borderId="3" pivotButton="0" quotePrefix="0" xfId="0"/>
    <xf numFmtId="165" fontId="1" fillId="0" borderId="0" pivotButton="0" quotePrefix="0" xfId="0"/>
    <xf numFmtId="165" fontId="2" fillId="4" borderId="0" pivotButton="0" quotePrefix="0" xfId="0"/>
    <xf numFmtId="165" fontId="2" fillId="4" borderId="3" pivotButton="0" quotePrefix="0" xfId="0"/>
    <xf numFmtId="165" fontId="1" fillId="4" borderId="0" pivotButton="0" quotePrefix="0" xfId="0"/>
    <xf numFmtId="0" fontId="4" fillId="0" borderId="0" applyAlignment="1" pivotButton="0" quotePrefix="0" xfId="0">
      <alignment horizontal="left" vertical="center"/>
    </xf>
    <xf numFmtId="3" fontId="4" fillId="4" borderId="2" pivotButton="0" quotePrefix="0" xfId="0"/>
    <xf numFmtId="3" fontId="4" fillId="4" borderId="4" pivotButton="0" quotePrefix="0" xfId="0"/>
    <xf numFmtId="0" fontId="0" fillId="3" borderId="3" pivotButton="0" quotePrefix="0" xfId="0"/>
    <xf numFmtId="3" fontId="4" fillId="0" borderId="2" pivotButton="0" quotePrefix="0" xfId="0"/>
    <xf numFmtId="3" fontId="4" fillId="0" borderId="4" pivotButton="0" quotePrefix="0" xfId="0"/>
    <xf numFmtId="3" fontId="7" fillId="4" borderId="0" pivotButton="0" quotePrefix="0" xfId="0"/>
    <xf numFmtId="3" fontId="7" fillId="0" borderId="0" pivotButton="0" quotePrefix="0" xfId="0"/>
    <xf numFmtId="3" fontId="4" fillId="5" borderId="0" applyAlignment="1" pivotButton="0" quotePrefix="0" xfId="0">
      <alignment horizontal="center" vertical="center"/>
    </xf>
    <xf numFmtId="3" fontId="4" fillId="5" borderId="3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3" fontId="4" fillId="4" borderId="3" applyAlignment="1" pivotButton="0" quotePrefix="0" xfId="0">
      <alignment horizontal="center" vertical="center"/>
    </xf>
    <xf numFmtId="164" fontId="2" fillId="4" borderId="0" pivotButton="0" quotePrefix="0" xfId="0"/>
    <xf numFmtId="164" fontId="2" fillId="4" borderId="3" pivotButton="0" quotePrefix="0" xfId="0"/>
    <xf numFmtId="164" fontId="1" fillId="4" borderId="0" pivotButton="0" quotePrefix="0" xfId="0"/>
    <xf numFmtId="0" fontId="4" fillId="0" borderId="2" pivotButton="0" quotePrefix="0" xfId="0"/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L9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4">
      <c r="A4" s="1" t="inlineStr">
        <is>
          <t>Company Name</t>
        </is>
      </c>
      <c r="D4" s="2" t="n"/>
      <c r="E4" s="2" t="n"/>
      <c r="F4" s="2" t="n"/>
      <c r="G4" s="2" t="n"/>
      <c r="H4" s="3" t="n"/>
      <c r="I4" s="3" t="n"/>
      <c r="J4" s="3" t="n"/>
      <c r="K4" s="3" t="n"/>
      <c r="L4" s="3" t="n"/>
    </row>
    <row r="5">
      <c r="A5" s="1" t="inlineStr">
        <is>
          <t>Industry / Sector</t>
        </is>
      </c>
      <c r="D5" s="2" t="n"/>
      <c r="E5" s="2" t="n"/>
      <c r="F5" s="2" t="n"/>
      <c r="G5" s="2" t="n"/>
      <c r="H5" s="3" t="n"/>
      <c r="I5" s="3" t="n"/>
      <c r="J5" s="3" t="n"/>
      <c r="K5" s="3" t="n"/>
      <c r="L5" s="3" t="n"/>
    </row>
    <row r="6">
      <c r="A6" s="1" t="inlineStr">
        <is>
          <t>Date</t>
        </is>
      </c>
      <c r="D6" s="2" t="n"/>
      <c r="E6" s="2" t="n"/>
      <c r="F6" s="2" t="n"/>
      <c r="G6" s="2" t="n"/>
      <c r="H6" s="3" t="n"/>
      <c r="I6" s="3" t="n"/>
      <c r="J6" s="3" t="n"/>
      <c r="K6" s="3" t="n"/>
      <c r="L6" s="3" t="n"/>
    </row>
    <row r="7">
      <c r="A7" s="1" t="inlineStr">
        <is>
          <t>Analyst</t>
        </is>
      </c>
      <c r="D7" s="2" t="n"/>
      <c r="E7" s="2" t="n"/>
      <c r="F7" s="2" t="n"/>
      <c r="G7" s="2" t="n"/>
      <c r="H7" s="3" t="n"/>
      <c r="I7" s="3" t="n"/>
      <c r="J7" s="3" t="n"/>
      <c r="K7" s="3" t="n"/>
      <c r="L7" s="3" t="n"/>
    </row>
    <row r="8">
      <c r="A8" s="1" t="inlineStr">
        <is>
          <t>FX Rate (USD/RMB)</t>
        </is>
      </c>
      <c r="D8" s="2" t="n"/>
      <c r="E8" s="2" t="n"/>
      <c r="F8" s="2" t="n"/>
      <c r="G8" s="2" t="n"/>
      <c r="H8" s="3" t="n"/>
      <c r="I8" s="3" t="n"/>
      <c r="J8" s="3" t="n"/>
      <c r="K8" s="3" t="n"/>
      <c r="L8" s="3" t="n"/>
    </row>
    <row r="9">
      <c r="A9" s="1" t="inlineStr">
        <is>
          <t>Base Currency</t>
        </is>
      </c>
      <c r="D9" s="2" t="n"/>
      <c r="E9" s="2" t="n"/>
      <c r="F9" s="2" t="n"/>
      <c r="G9" s="2" t="n"/>
      <c r="H9" s="3" t="n"/>
      <c r="I9" s="3" t="n"/>
      <c r="J9" s="3" t="n"/>
      <c r="K9" s="3" t="n"/>
      <c r="L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Key Assumptions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3">
      <c r="D3" s="6" t="n">
        <v>2021</v>
      </c>
      <c r="E3" s="6" t="n">
        <v>2022</v>
      </c>
      <c r="F3" s="6" t="n">
        <v>2023</v>
      </c>
      <c r="G3" s="7" t="n">
        <v>2024</v>
      </c>
      <c r="H3" s="6" t="inlineStr">
        <is>
          <t>2025E</t>
        </is>
      </c>
      <c r="I3" s="6" t="inlineStr">
        <is>
          <t>2026E</t>
        </is>
      </c>
      <c r="J3" s="6" t="inlineStr">
        <is>
          <t>2027E</t>
        </is>
      </c>
      <c r="K3" s="6" t="inlineStr">
        <is>
          <t>2028E</t>
        </is>
      </c>
      <c r="L3" s="6" t="inlineStr">
        <is>
          <t>2029E</t>
        </is>
      </c>
    </row>
    <row r="4">
      <c r="D4" s="8" t="n"/>
      <c r="E4" s="8" t="n"/>
      <c r="F4" s="8" t="n"/>
      <c r="G4" s="9" t="n"/>
      <c r="H4" s="8" t="n"/>
      <c r="I4" s="8" t="n"/>
      <c r="J4" s="8" t="n"/>
      <c r="K4" s="8" t="n"/>
      <c r="L4" s="8" t="n"/>
    </row>
    <row r="5">
      <c r="A5" s="1" t="inlineStr">
        <is>
          <t>Scenario</t>
        </is>
      </c>
      <c r="D5" s="2" t="n"/>
      <c r="E5" s="2" t="n"/>
      <c r="F5" s="2" t="n"/>
      <c r="G5" s="10" t="n"/>
      <c r="H5" s="3" t="n"/>
      <c r="I5" s="3" t="n"/>
      <c r="J5" s="3" t="n"/>
      <c r="K5" s="3" t="n"/>
      <c r="L5" s="3" t="n"/>
    </row>
    <row r="6">
      <c r="A6" s="1" t="inlineStr">
        <is>
          <t>Active Scenario</t>
        </is>
      </c>
      <c r="D6" s="11" t="n"/>
      <c r="E6" s="11" t="n"/>
      <c r="F6" s="11" t="n"/>
      <c r="G6" s="12" t="n"/>
      <c r="H6" s="13" t="inlineStr">
        <is>
          <t>Base</t>
        </is>
      </c>
      <c r="I6" s="13" t="n"/>
      <c r="J6" s="13" t="n"/>
      <c r="K6" s="13" t="n"/>
      <c r="L6" s="13" t="n"/>
    </row>
    <row r="7">
      <c r="A7" s="1" t="inlineStr">
        <is>
          <t>Revenue Multiplier</t>
        </is>
      </c>
      <c r="B7" s="14" t="inlineStr">
        <is>
          <t>x</t>
        </is>
      </c>
      <c r="D7" s="15" t="n"/>
      <c r="E7" s="15" t="n"/>
      <c r="F7" s="15" t="n"/>
      <c r="G7" s="16" t="n"/>
      <c r="H7" s="17" t="n"/>
      <c r="I7" s="17" t="n"/>
      <c r="J7" s="17" t="n"/>
      <c r="K7" s="17" t="n"/>
      <c r="L7" s="17" t="n"/>
    </row>
    <row r="8">
      <c r="A8" s="1" t="inlineStr">
        <is>
          <t>Margin Adjustment</t>
        </is>
      </c>
      <c r="B8" s="14" t="inlineStr">
        <is>
          <t>bps</t>
        </is>
      </c>
      <c r="D8" s="11" t="n"/>
      <c r="E8" s="11" t="n"/>
      <c r="F8" s="11" t="n"/>
      <c r="G8" s="12" t="n"/>
      <c r="H8" s="13" t="n"/>
      <c r="I8" s="13" t="n"/>
      <c r="J8" s="13" t="n"/>
      <c r="K8" s="13" t="n"/>
      <c r="L8" s="13" t="n"/>
    </row>
    <row r="9">
      <c r="G9" s="18" t="n"/>
    </row>
    <row r="10">
      <c r="A10" s="19" t="inlineStr">
        <is>
          <t>SEGMENT A REVENUE DRIVERS</t>
        </is>
      </c>
      <c r="B10" s="20" t="n"/>
      <c r="C10" s="20" t="n"/>
      <c r="D10" s="8" t="n"/>
      <c r="E10" s="8" t="n"/>
      <c r="F10" s="8" t="n"/>
      <c r="G10" s="9" t="n"/>
      <c r="H10" s="8" t="n"/>
      <c r="I10" s="8" t="n"/>
      <c r="J10" s="8" t="n"/>
      <c r="K10" s="8" t="n"/>
      <c r="L10" s="8" t="n"/>
    </row>
    <row r="11">
      <c r="A11" s="1" t="inlineStr">
        <is>
          <t>Volume (units)</t>
        </is>
      </c>
      <c r="B11" s="14" t="inlineStr">
        <is>
          <t>units</t>
        </is>
      </c>
      <c r="D11" s="21" t="n"/>
      <c r="E11" s="21" t="n"/>
      <c r="F11" s="21" t="n"/>
      <c r="G11" s="22" t="n"/>
      <c r="H11" s="23" t="n"/>
      <c r="I11" s="23" t="n"/>
      <c r="J11" s="23" t="n"/>
      <c r="K11" s="23" t="n"/>
      <c r="L11" s="23" t="n"/>
    </row>
    <row r="12">
      <c r="A12" s="1" t="inlineStr">
        <is>
          <t>ASP</t>
        </is>
      </c>
      <c r="B12" s="14" t="inlineStr">
        <is>
          <t>RMB</t>
        </is>
      </c>
      <c r="D12" s="24" t="n"/>
      <c r="E12" s="24" t="n"/>
      <c r="F12" s="24" t="n"/>
      <c r="G12" s="25" t="n"/>
      <c r="H12" s="26" t="n"/>
      <c r="I12" s="26" t="n"/>
      <c r="J12" s="26" t="n"/>
      <c r="K12" s="26" t="n"/>
      <c r="L12" s="26" t="n"/>
    </row>
    <row r="13">
      <c r="A13" s="1" t="inlineStr">
        <is>
          <t>Utilization Rate</t>
        </is>
      </c>
      <c r="B13" s="14" t="inlineStr">
        <is>
          <t>%</t>
        </is>
      </c>
      <c r="D13" s="27" t="n"/>
      <c r="E13" s="27" t="n"/>
      <c r="F13" s="27" t="n"/>
      <c r="G13" s="28" t="n"/>
      <c r="H13" s="29" t="n"/>
      <c r="I13" s="29" t="n"/>
      <c r="J13" s="29" t="n"/>
      <c r="K13" s="29" t="n"/>
      <c r="L13" s="29" t="n"/>
    </row>
    <row r="14">
      <c r="A14" s="1" t="inlineStr">
        <is>
          <t>Segment A Revenue</t>
        </is>
      </c>
      <c r="B14" s="14" t="inlineStr">
        <is>
          <t>RMB mn</t>
        </is>
      </c>
      <c r="D14" s="24" t="n"/>
      <c r="E14" s="24" t="n"/>
      <c r="F14" s="24" t="n"/>
      <c r="G14" s="25" t="n"/>
      <c r="H14" s="26">
        <f>H11*H12*H13</f>
        <v/>
      </c>
      <c r="I14" s="26">
        <f>I11*I12*I13</f>
        <v/>
      </c>
      <c r="J14" s="26">
        <f>J11*J12*J13</f>
        <v/>
      </c>
      <c r="K14" s="26">
        <f>K11*K12*K13</f>
        <v/>
      </c>
      <c r="L14" s="26">
        <f>L11*L12*L13</f>
        <v/>
      </c>
    </row>
    <row r="15">
      <c r="A15" s="1" t="inlineStr">
        <is>
          <t xml:space="preserve">  YoY Growth</t>
        </is>
      </c>
      <c r="B15" s="14" t="inlineStr">
        <is>
          <t>%</t>
        </is>
      </c>
      <c r="D15" s="27" t="n"/>
      <c r="E15" s="27" t="n"/>
      <c r="F15" s="27" t="n"/>
      <c r="G15" s="28" t="n"/>
      <c r="H15" s="29">
        <f>IF(G14=0,"",(H14/G14-1))</f>
        <v/>
      </c>
      <c r="I15" s="29">
        <f>IF(H14=0,"",(I14/H14-1))</f>
        <v/>
      </c>
      <c r="J15" s="29">
        <f>IF(I14=0,"",(J14/I14-1))</f>
        <v/>
      </c>
      <c r="K15" s="29">
        <f>IF(J14=0,"",(K14/J14-1))</f>
        <v/>
      </c>
      <c r="L15" s="29">
        <f>IF(K14=0,"",(L14/K14-1))</f>
        <v/>
      </c>
    </row>
    <row r="16">
      <c r="A16" s="1" t="inlineStr">
        <is>
          <t xml:space="preserve">  % of Total Revenue</t>
        </is>
      </c>
      <c r="B16" s="14" t="inlineStr">
        <is>
          <t>%</t>
        </is>
      </c>
      <c r="D16" s="30" t="n"/>
      <c r="E16" s="30" t="n"/>
      <c r="F16" s="30" t="n"/>
      <c r="G16" s="31" t="n"/>
      <c r="H16" s="32">
        <f>IF(H34=0,"",H14/H34)</f>
        <v/>
      </c>
      <c r="I16" s="32">
        <f>IF(I34=0,"",I14/I34)</f>
        <v/>
      </c>
      <c r="J16" s="32">
        <f>IF(J34=0,"",J14/J34)</f>
        <v/>
      </c>
      <c r="K16" s="32">
        <f>IF(K34=0,"",K14/K34)</f>
        <v/>
      </c>
      <c r="L16" s="32">
        <f>IF(L34=0,"",L14/L34)</f>
        <v/>
      </c>
    </row>
    <row r="17">
      <c r="G17" s="18" t="n"/>
    </row>
    <row r="18">
      <c r="A18" s="19" t="inlineStr">
        <is>
          <t>SEGMENT B REVENUE DRIVERS</t>
        </is>
      </c>
      <c r="B18" s="20" t="n"/>
      <c r="C18" s="20" t="n"/>
      <c r="D18" s="8" t="n"/>
      <c r="E18" s="8" t="n"/>
      <c r="F18" s="8" t="n"/>
      <c r="G18" s="9" t="n"/>
      <c r="H18" s="8" t="n"/>
      <c r="I18" s="8" t="n"/>
      <c r="J18" s="8" t="n"/>
      <c r="K18" s="8" t="n"/>
      <c r="L18" s="8" t="n"/>
    </row>
    <row r="19">
      <c r="A19" s="1" t="inlineStr">
        <is>
          <t>Volume (units)</t>
        </is>
      </c>
      <c r="B19" s="14" t="inlineStr">
        <is>
          <t>units</t>
        </is>
      </c>
      <c r="D19" s="21" t="n"/>
      <c r="E19" s="21" t="n"/>
      <c r="F19" s="21" t="n"/>
      <c r="G19" s="22" t="n"/>
      <c r="H19" s="23" t="n"/>
      <c r="I19" s="23" t="n"/>
      <c r="J19" s="23" t="n"/>
      <c r="K19" s="23" t="n"/>
      <c r="L19" s="23" t="n"/>
    </row>
    <row r="20">
      <c r="A20" s="1" t="inlineStr">
        <is>
          <t>ASP</t>
        </is>
      </c>
      <c r="B20" s="14" t="inlineStr">
        <is>
          <t>RMB</t>
        </is>
      </c>
      <c r="D20" s="24" t="n"/>
      <c r="E20" s="24" t="n"/>
      <c r="F20" s="24" t="n"/>
      <c r="G20" s="25" t="n"/>
      <c r="H20" s="26" t="n"/>
      <c r="I20" s="26" t="n"/>
      <c r="J20" s="26" t="n"/>
      <c r="K20" s="26" t="n"/>
      <c r="L20" s="26" t="n"/>
    </row>
    <row r="21">
      <c r="A21" s="1" t="inlineStr">
        <is>
          <t>Utilization Rate</t>
        </is>
      </c>
      <c r="B21" s="14" t="inlineStr">
        <is>
          <t>%</t>
        </is>
      </c>
      <c r="D21" s="27" t="n"/>
      <c r="E21" s="27" t="n"/>
      <c r="F21" s="27" t="n"/>
      <c r="G21" s="28" t="n"/>
      <c r="H21" s="29" t="n"/>
      <c r="I21" s="29" t="n"/>
      <c r="J21" s="29" t="n"/>
      <c r="K21" s="29" t="n"/>
      <c r="L21" s="29" t="n"/>
    </row>
    <row r="22">
      <c r="A22" s="1" t="inlineStr">
        <is>
          <t>Segment B Revenue</t>
        </is>
      </c>
      <c r="B22" s="14" t="inlineStr">
        <is>
          <t>RMB mn</t>
        </is>
      </c>
      <c r="D22" s="24" t="n"/>
      <c r="E22" s="24" t="n"/>
      <c r="F22" s="24" t="n"/>
      <c r="G22" s="25" t="n"/>
      <c r="H22" s="26">
        <f>H19*H20*H21</f>
        <v/>
      </c>
      <c r="I22" s="26">
        <f>I19*I20*I21</f>
        <v/>
      </c>
      <c r="J22" s="26">
        <f>J19*J20*J21</f>
        <v/>
      </c>
      <c r="K22" s="26">
        <f>K19*K20*K21</f>
        <v/>
      </c>
      <c r="L22" s="26">
        <f>L19*L20*L21</f>
        <v/>
      </c>
    </row>
    <row r="23">
      <c r="A23" s="1" t="inlineStr">
        <is>
          <t xml:space="preserve">  YoY Growth</t>
        </is>
      </c>
      <c r="B23" s="14" t="inlineStr">
        <is>
          <t>%</t>
        </is>
      </c>
      <c r="D23" s="27" t="n"/>
      <c r="E23" s="27" t="n"/>
      <c r="F23" s="27" t="n"/>
      <c r="G23" s="28" t="n"/>
      <c r="H23" s="29">
        <f>IF(G22=0,"",(H22/G22-1))</f>
        <v/>
      </c>
      <c r="I23" s="29">
        <f>IF(H22=0,"",(I22/H22-1))</f>
        <v/>
      </c>
      <c r="J23" s="29">
        <f>IF(I22=0,"",(J22/I22-1))</f>
        <v/>
      </c>
      <c r="K23" s="29">
        <f>IF(J22=0,"",(K22/J22-1))</f>
        <v/>
      </c>
      <c r="L23" s="29">
        <f>IF(K22=0,"",(L22/K22-1))</f>
        <v/>
      </c>
    </row>
    <row r="24">
      <c r="A24" s="1" t="inlineStr">
        <is>
          <t xml:space="preserve">  % of Total Revenue</t>
        </is>
      </c>
      <c r="B24" s="14" t="inlineStr">
        <is>
          <t>%</t>
        </is>
      </c>
      <c r="D24" s="30" t="n"/>
      <c r="E24" s="30" t="n"/>
      <c r="F24" s="30" t="n"/>
      <c r="G24" s="31" t="n"/>
      <c r="H24" s="32">
        <f>IF(H34=0,"",H22/H34)</f>
        <v/>
      </c>
      <c r="I24" s="32">
        <f>IF(I34=0,"",I22/I34)</f>
        <v/>
      </c>
      <c r="J24" s="32">
        <f>IF(J34=0,"",J22/J34)</f>
        <v/>
      </c>
      <c r="K24" s="32">
        <f>IF(K34=0,"",K22/K34)</f>
        <v/>
      </c>
      <c r="L24" s="32">
        <f>IF(L34=0,"",L22/L34)</f>
        <v/>
      </c>
    </row>
    <row r="25">
      <c r="G25" s="18" t="n"/>
    </row>
    <row r="26">
      <c r="A26" s="19" t="inlineStr">
        <is>
          <t>SEGMENT C REVENUE DRIVERS</t>
        </is>
      </c>
      <c r="B26" s="20" t="n"/>
      <c r="C26" s="20" t="n"/>
      <c r="D26" s="8" t="n"/>
      <c r="E26" s="8" t="n"/>
      <c r="F26" s="8" t="n"/>
      <c r="G26" s="9" t="n"/>
      <c r="H26" s="8" t="n"/>
      <c r="I26" s="8" t="n"/>
      <c r="J26" s="8" t="n"/>
      <c r="K26" s="8" t="n"/>
      <c r="L26" s="8" t="n"/>
    </row>
    <row r="27">
      <c r="A27" s="1" t="inlineStr">
        <is>
          <t>Volume (units)</t>
        </is>
      </c>
      <c r="B27" s="14" t="inlineStr">
        <is>
          <t>units</t>
        </is>
      </c>
      <c r="D27" s="21" t="n"/>
      <c r="E27" s="21" t="n"/>
      <c r="F27" s="21" t="n"/>
      <c r="G27" s="22" t="n"/>
      <c r="H27" s="23" t="n"/>
      <c r="I27" s="23" t="n"/>
      <c r="J27" s="23" t="n"/>
      <c r="K27" s="23" t="n"/>
      <c r="L27" s="23" t="n"/>
    </row>
    <row r="28">
      <c r="A28" s="1" t="inlineStr">
        <is>
          <t>ASP</t>
        </is>
      </c>
      <c r="B28" s="14" t="inlineStr">
        <is>
          <t>RMB</t>
        </is>
      </c>
      <c r="D28" s="24" t="n"/>
      <c r="E28" s="24" t="n"/>
      <c r="F28" s="24" t="n"/>
      <c r="G28" s="25" t="n"/>
      <c r="H28" s="26" t="n"/>
      <c r="I28" s="26" t="n"/>
      <c r="J28" s="26" t="n"/>
      <c r="K28" s="26" t="n"/>
      <c r="L28" s="26" t="n"/>
    </row>
    <row r="29">
      <c r="A29" s="1" t="inlineStr">
        <is>
          <t>Utilization Rate</t>
        </is>
      </c>
      <c r="B29" s="14" t="inlineStr">
        <is>
          <t>%</t>
        </is>
      </c>
      <c r="D29" s="27" t="n"/>
      <c r="E29" s="27" t="n"/>
      <c r="F29" s="27" t="n"/>
      <c r="G29" s="28" t="n"/>
      <c r="H29" s="29" t="n"/>
      <c r="I29" s="29" t="n"/>
      <c r="J29" s="29" t="n"/>
      <c r="K29" s="29" t="n"/>
      <c r="L29" s="29" t="n"/>
    </row>
    <row r="30">
      <c r="A30" s="1" t="inlineStr">
        <is>
          <t>Segment C Revenue</t>
        </is>
      </c>
      <c r="B30" s="14" t="inlineStr">
        <is>
          <t>RMB mn</t>
        </is>
      </c>
      <c r="D30" s="24" t="n"/>
      <c r="E30" s="24" t="n"/>
      <c r="F30" s="24" t="n"/>
      <c r="G30" s="25" t="n"/>
      <c r="H30" s="26">
        <f>H27*H28*H29</f>
        <v/>
      </c>
      <c r="I30" s="26">
        <f>I27*I28*I29</f>
        <v/>
      </c>
      <c r="J30" s="26">
        <f>J27*J28*J29</f>
        <v/>
      </c>
      <c r="K30" s="26">
        <f>K27*K28*K29</f>
        <v/>
      </c>
      <c r="L30" s="26">
        <f>L27*L28*L29</f>
        <v/>
      </c>
    </row>
    <row r="31">
      <c r="A31" s="1" t="inlineStr">
        <is>
          <t xml:space="preserve">  YoY Growth</t>
        </is>
      </c>
      <c r="B31" s="14" t="inlineStr">
        <is>
          <t>%</t>
        </is>
      </c>
      <c r="D31" s="27" t="n"/>
      <c r="E31" s="27" t="n"/>
      <c r="F31" s="27" t="n"/>
      <c r="G31" s="28" t="n"/>
      <c r="H31" s="29">
        <f>IF(G30=0,"",(H30/G30-1))</f>
        <v/>
      </c>
      <c r="I31" s="29">
        <f>IF(H30=0,"",(I30/H30-1))</f>
        <v/>
      </c>
      <c r="J31" s="29">
        <f>IF(I30=0,"",(J30/I30-1))</f>
        <v/>
      </c>
      <c r="K31" s="29">
        <f>IF(J30=0,"",(K30/J30-1))</f>
        <v/>
      </c>
      <c r="L31" s="29">
        <f>IF(K30=0,"",(L30/K30-1))</f>
        <v/>
      </c>
    </row>
    <row r="32">
      <c r="A32" s="1" t="inlineStr">
        <is>
          <t xml:space="preserve">  % of Total Revenue</t>
        </is>
      </c>
      <c r="B32" s="14" t="inlineStr">
        <is>
          <t>%</t>
        </is>
      </c>
      <c r="D32" s="30" t="n"/>
      <c r="E32" s="30" t="n"/>
      <c r="F32" s="30" t="n"/>
      <c r="G32" s="31" t="n"/>
      <c r="H32" s="32">
        <f>IF(H34=0,"",H30/H34)</f>
        <v/>
      </c>
      <c r="I32" s="32">
        <f>IF(I34=0,"",I30/I34)</f>
        <v/>
      </c>
      <c r="J32" s="32">
        <f>IF(J34=0,"",J30/J34)</f>
        <v/>
      </c>
      <c r="K32" s="32">
        <f>IF(K34=0,"",K30/K34)</f>
        <v/>
      </c>
      <c r="L32" s="32">
        <f>IF(L34=0,"",L30/L34)</f>
        <v/>
      </c>
    </row>
    <row r="33">
      <c r="G33" s="18" t="n"/>
    </row>
    <row r="34">
      <c r="A34" s="33" t="inlineStr">
        <is>
          <t>Total Revenue</t>
        </is>
      </c>
      <c r="B34" s="14" t="inlineStr">
        <is>
          <t>RMB mn</t>
        </is>
      </c>
      <c r="D34" s="34" t="n"/>
      <c r="E34" s="34" t="n"/>
      <c r="F34" s="34" t="n"/>
      <c r="G34" s="35" t="n"/>
      <c r="H34" s="34">
        <f>H14+H22+H30</f>
        <v/>
      </c>
      <c r="I34" s="34">
        <f>I14+I22+I30</f>
        <v/>
      </c>
      <c r="J34" s="34">
        <f>J14+J22+J30</f>
        <v/>
      </c>
      <c r="K34" s="34">
        <f>K14+K22+K30</f>
        <v/>
      </c>
      <c r="L34" s="34">
        <f>L14+L22+L30</f>
        <v/>
      </c>
    </row>
    <row r="35">
      <c r="A35" s="1" t="inlineStr">
        <is>
          <t xml:space="preserve">  Total Revenue Growth</t>
        </is>
      </c>
      <c r="B35" s="14" t="inlineStr">
        <is>
          <t>%</t>
        </is>
      </c>
      <c r="D35" s="27" t="n"/>
      <c r="E35" s="27" t="n"/>
      <c r="F35" s="27" t="n"/>
      <c r="G35" s="28" t="n"/>
      <c r="H35" s="29">
        <f>IF(G34=0,"",(H34/G34-1))</f>
        <v/>
      </c>
      <c r="I35" s="29">
        <f>IF(H34=0,"",(I34/H34-1))</f>
        <v/>
      </c>
      <c r="J35" s="29">
        <f>IF(I34=0,"",(J34/I34-1))</f>
        <v/>
      </c>
      <c r="K35" s="29">
        <f>IF(J34=0,"",(K34/J34-1))</f>
        <v/>
      </c>
      <c r="L35" s="29">
        <f>IF(K34=0,"",(L34/K34-1))</f>
        <v/>
      </c>
    </row>
    <row r="36">
      <c r="D36" s="8" t="n"/>
      <c r="E36" s="8" t="n"/>
      <c r="F36" s="8" t="n"/>
      <c r="G36" s="9" t="n"/>
      <c r="H36" s="8" t="n"/>
      <c r="I36" s="8" t="n"/>
      <c r="J36" s="8" t="n"/>
      <c r="K36" s="8" t="n"/>
      <c r="L36" s="8" t="n"/>
    </row>
    <row r="37">
      <c r="A37" s="19" t="inlineStr">
        <is>
          <t>COST ASSUMPTIONS</t>
        </is>
      </c>
      <c r="B37" s="20" t="n"/>
      <c r="C37" s="20" t="n"/>
      <c r="D37" s="20" t="n"/>
      <c r="E37" s="20" t="n"/>
      <c r="F37" s="20" t="n"/>
      <c r="G37" s="36" t="n"/>
      <c r="H37" s="20" t="n"/>
      <c r="I37" s="20" t="n"/>
      <c r="J37" s="20" t="n"/>
      <c r="K37" s="20" t="n"/>
      <c r="L37" s="20" t="n"/>
    </row>
    <row r="38">
      <c r="A38" s="1" t="inlineStr">
        <is>
          <t>COGS % — Segment A</t>
        </is>
      </c>
      <c r="B38" s="14" t="inlineStr">
        <is>
          <t>%</t>
        </is>
      </c>
      <c r="D38" s="30" t="n"/>
      <c r="E38" s="30" t="n"/>
      <c r="F38" s="30" t="n"/>
      <c r="G38" s="31" t="n"/>
      <c r="H38" s="32" t="n"/>
      <c r="I38" s="32" t="n"/>
      <c r="J38" s="32" t="n"/>
      <c r="K38" s="32" t="n"/>
      <c r="L38" s="32" t="n"/>
    </row>
    <row r="39">
      <c r="A39" s="1" t="inlineStr">
        <is>
          <t>COGS % — Segment B</t>
        </is>
      </c>
      <c r="B39" s="14" t="inlineStr">
        <is>
          <t>%</t>
        </is>
      </c>
      <c r="D39" s="27" t="n"/>
      <c r="E39" s="27" t="n"/>
      <c r="F39" s="27" t="n"/>
      <c r="G39" s="28" t="n"/>
      <c r="H39" s="29" t="n"/>
      <c r="I39" s="29" t="n"/>
      <c r="J39" s="29" t="n"/>
      <c r="K39" s="29" t="n"/>
      <c r="L39" s="29" t="n"/>
    </row>
    <row r="40">
      <c r="A40" s="1" t="inlineStr">
        <is>
          <t>COGS % — Segment C</t>
        </is>
      </c>
      <c r="B40" s="14" t="inlineStr">
        <is>
          <t>%</t>
        </is>
      </c>
      <c r="D40" s="30" t="n"/>
      <c r="E40" s="30" t="n"/>
      <c r="F40" s="30" t="n"/>
      <c r="G40" s="31" t="n"/>
      <c r="H40" s="32" t="n"/>
      <c r="I40" s="32" t="n"/>
      <c r="J40" s="32" t="n"/>
      <c r="K40" s="32" t="n"/>
      <c r="L40" s="32" t="n"/>
    </row>
    <row r="41">
      <c r="A41" s="1" t="inlineStr">
        <is>
          <t>Blended COGS %</t>
        </is>
      </c>
      <c r="B41" s="14" t="inlineStr">
        <is>
          <t>%</t>
        </is>
      </c>
      <c r="D41" s="27" t="n"/>
      <c r="E41" s="27" t="n"/>
      <c r="F41" s="27" t="n"/>
      <c r="G41" s="28" t="n"/>
      <c r="H41" s="29">
        <f>IF(H34=0,"",(H14*H38+H22*H39+H30*H40)/H34)</f>
        <v/>
      </c>
      <c r="I41" s="29">
        <f>IF(I34=0,"",(I14*I38+I22*I39+I30*I40)/I34)</f>
        <v/>
      </c>
      <c r="J41" s="29">
        <f>IF(J34=0,"",(J14*J38+J22*J39+J30*J40)/J34)</f>
        <v/>
      </c>
      <c r="K41" s="29">
        <f>IF(K34=0,"",(K14*K38+K22*K39+K30*K40)/K34)</f>
        <v/>
      </c>
      <c r="L41" s="29">
        <f>IF(L34=0,"",(L14*L38+L22*L39+L30*L40)/L34)</f>
        <v/>
      </c>
    </row>
    <row r="42">
      <c r="A42" s="1" t="inlineStr">
        <is>
          <t xml:space="preserve">  Gross Margin</t>
        </is>
      </c>
      <c r="B42" s="14" t="inlineStr">
        <is>
          <t>%</t>
        </is>
      </c>
      <c r="D42" s="30" t="n"/>
      <c r="E42" s="30" t="n"/>
      <c r="F42" s="30" t="n"/>
      <c r="G42" s="31" t="n"/>
      <c r="H42" s="32">
        <f>IF(H41="","",1-H41)</f>
        <v/>
      </c>
      <c r="I42" s="32">
        <f>IF(I41="","",1-I41)</f>
        <v/>
      </c>
      <c r="J42" s="32">
        <f>IF(J41="","",1-J41)</f>
        <v/>
      </c>
      <c r="K42" s="32">
        <f>IF(K41="","",1-K41)</f>
        <v/>
      </c>
      <c r="L42" s="32">
        <f>IF(L41="","",1-L41)</f>
        <v/>
      </c>
    </row>
    <row r="43">
      <c r="G43" s="18" t="n"/>
    </row>
    <row r="44">
      <c r="A44" s="19" t="inlineStr">
        <is>
          <t>OPEX ASSUMPTIONS</t>
        </is>
      </c>
      <c r="B44" s="20" t="n"/>
      <c r="C44" s="20" t="n"/>
      <c r="D44" s="8" t="n"/>
      <c r="E44" s="8" t="n"/>
      <c r="F44" s="8" t="n"/>
      <c r="G44" s="9" t="n"/>
      <c r="H44" s="8" t="n"/>
      <c r="I44" s="8" t="n"/>
      <c r="J44" s="8" t="n"/>
      <c r="K44" s="8" t="n"/>
      <c r="L44" s="8" t="n"/>
    </row>
    <row r="45">
      <c r="A45" s="1" t="inlineStr">
        <is>
          <t>Personnel (% of Rev)</t>
        </is>
      </c>
      <c r="B45" s="14" t="inlineStr">
        <is>
          <t>%</t>
        </is>
      </c>
      <c r="D45" s="27" t="n"/>
      <c r="E45" s="27" t="n"/>
      <c r="F45" s="27" t="n"/>
      <c r="G45" s="28" t="n"/>
      <c r="H45" s="29" t="n"/>
      <c r="I45" s="29" t="n"/>
      <c r="J45" s="29" t="n"/>
      <c r="K45" s="29" t="n"/>
      <c r="L45" s="29" t="n"/>
    </row>
    <row r="46">
      <c r="A46" s="1" t="inlineStr">
        <is>
          <t>Rent (% of Rev)</t>
        </is>
      </c>
      <c r="B46" s="14" t="inlineStr">
        <is>
          <t>%</t>
        </is>
      </c>
      <c r="D46" s="30" t="n"/>
      <c r="E46" s="30" t="n"/>
      <c r="F46" s="30" t="n"/>
      <c r="G46" s="31" t="n"/>
      <c r="H46" s="32" t="n"/>
      <c r="I46" s="32" t="n"/>
      <c r="J46" s="32" t="n"/>
      <c r="K46" s="32" t="n"/>
      <c r="L46" s="32" t="n"/>
    </row>
    <row r="47">
      <c r="A47" s="1" t="inlineStr">
        <is>
          <t>Marketing (% of Rev)</t>
        </is>
      </c>
      <c r="B47" s="14" t="inlineStr">
        <is>
          <t>%</t>
        </is>
      </c>
      <c r="D47" s="27" t="n"/>
      <c r="E47" s="27" t="n"/>
      <c r="F47" s="27" t="n"/>
      <c r="G47" s="28" t="n"/>
      <c r="H47" s="29" t="n"/>
      <c r="I47" s="29" t="n"/>
      <c r="J47" s="29" t="n"/>
      <c r="K47" s="29" t="n"/>
      <c r="L47" s="29" t="n"/>
    </row>
    <row r="48">
      <c r="A48" s="1" t="inlineStr">
        <is>
          <t>R&amp;D (% of Rev)</t>
        </is>
      </c>
      <c r="B48" s="14" t="inlineStr">
        <is>
          <t>%</t>
        </is>
      </c>
      <c r="D48" s="30" t="n"/>
      <c r="E48" s="30" t="n"/>
      <c r="F48" s="30" t="n"/>
      <c r="G48" s="31" t="n"/>
      <c r="H48" s="32" t="n"/>
      <c r="I48" s="32" t="n"/>
      <c r="J48" s="32" t="n"/>
      <c r="K48" s="32" t="n"/>
      <c r="L48" s="32" t="n"/>
    </row>
    <row r="49">
      <c r="A49" s="1" t="inlineStr">
        <is>
          <t>Other OpEx (% of Rev)</t>
        </is>
      </c>
      <c r="B49" s="14" t="inlineStr">
        <is>
          <t>%</t>
        </is>
      </c>
      <c r="D49" s="27" t="n"/>
      <c r="E49" s="27" t="n"/>
      <c r="F49" s="27" t="n"/>
      <c r="G49" s="28" t="n"/>
      <c r="H49" s="29" t="n"/>
      <c r="I49" s="29" t="n"/>
      <c r="J49" s="29" t="n"/>
      <c r="K49" s="29" t="n"/>
      <c r="L49" s="29" t="n"/>
    </row>
    <row r="50">
      <c r="A50" s="1" t="inlineStr">
        <is>
          <t>Total SG&amp;A %</t>
        </is>
      </c>
      <c r="B50" s="14" t="inlineStr">
        <is>
          <t>%</t>
        </is>
      </c>
      <c r="D50" s="30" t="n"/>
      <c r="E50" s="30" t="n"/>
      <c r="F50" s="30" t="n"/>
      <c r="G50" s="31" t="n"/>
      <c r="H50" s="32">
        <f>H45+H46+H47+H48+H49</f>
        <v/>
      </c>
      <c r="I50" s="32">
        <f>I45+I46+I47+I48+I49</f>
        <v/>
      </c>
      <c r="J50" s="32">
        <f>J45+J46+J47+J48+J49</f>
        <v/>
      </c>
      <c r="K50" s="32">
        <f>K45+K46+K47+K48+K49</f>
        <v/>
      </c>
      <c r="L50" s="32">
        <f>L45+L46+L47+L48+L49</f>
        <v/>
      </c>
    </row>
    <row r="51">
      <c r="G51" s="18" t="n"/>
    </row>
    <row r="52">
      <c r="A52" s="19" t="inlineStr">
        <is>
          <t>CAPEX &amp; D&amp;A ASSUMPTIONS</t>
        </is>
      </c>
      <c r="B52" s="20" t="n"/>
      <c r="C52" s="20" t="n"/>
      <c r="D52" s="8" t="n"/>
      <c r="E52" s="8" t="n"/>
      <c r="F52" s="8" t="n"/>
      <c r="G52" s="9" t="n"/>
      <c r="H52" s="8" t="n"/>
      <c r="I52" s="8" t="n"/>
      <c r="J52" s="8" t="n"/>
      <c r="K52" s="8" t="n"/>
      <c r="L52" s="8" t="n"/>
    </row>
    <row r="53">
      <c r="A53" s="1" t="inlineStr">
        <is>
          <t>CapEx (% of Rev)</t>
        </is>
      </c>
      <c r="B53" s="14" t="inlineStr">
        <is>
          <t>%</t>
        </is>
      </c>
      <c r="D53" s="27" t="n"/>
      <c r="E53" s="27" t="n"/>
      <c r="F53" s="27" t="n"/>
      <c r="G53" s="28" t="n"/>
      <c r="H53" s="29" t="n"/>
      <c r="I53" s="29" t="n"/>
      <c r="J53" s="29" t="n"/>
      <c r="K53" s="29" t="n"/>
      <c r="L53" s="29" t="n"/>
    </row>
    <row r="54">
      <c r="A54" s="1" t="inlineStr">
        <is>
          <t>D&amp;A Rate (% of PP&amp;E)</t>
        </is>
      </c>
      <c r="B54" s="14" t="inlineStr">
        <is>
          <t>%</t>
        </is>
      </c>
      <c r="D54" s="30" t="n"/>
      <c r="E54" s="30" t="n"/>
      <c r="F54" s="30" t="n"/>
      <c r="G54" s="31" t="n"/>
      <c r="H54" s="32" t="n"/>
      <c r="I54" s="32" t="n"/>
      <c r="J54" s="32" t="n"/>
      <c r="K54" s="32" t="n"/>
      <c r="L54" s="32" t="n"/>
    </row>
    <row r="55">
      <c r="G55" s="18" t="n"/>
    </row>
    <row r="56">
      <c r="D56" s="8" t="n"/>
      <c r="E56" s="8" t="n"/>
      <c r="F56" s="8" t="n"/>
      <c r="G56" s="9" t="n"/>
      <c r="H56" s="8" t="n"/>
      <c r="I56" s="8" t="n"/>
      <c r="J56" s="8" t="n"/>
      <c r="K56" s="8" t="n"/>
      <c r="L56" s="8" t="n"/>
    </row>
    <row r="57">
      <c r="G57" s="18" t="n"/>
    </row>
    <row r="58">
      <c r="A58" s="19" t="inlineStr">
        <is>
          <t>WORKING CAPITAL ASSUMPTIONS</t>
        </is>
      </c>
      <c r="B58" s="20" t="n"/>
      <c r="C58" s="20" t="n"/>
      <c r="D58" s="8" t="n"/>
      <c r="E58" s="8" t="n"/>
      <c r="F58" s="8" t="n"/>
      <c r="G58" s="9" t="n"/>
      <c r="H58" s="8" t="n"/>
      <c r="I58" s="8" t="n"/>
      <c r="J58" s="8" t="n"/>
      <c r="K58" s="8" t="n"/>
      <c r="L58" s="8" t="n"/>
    </row>
    <row r="59">
      <c r="A59" s="1" t="inlineStr">
        <is>
          <t>AR Days</t>
        </is>
      </c>
      <c r="B59" s="14" t="inlineStr">
        <is>
          <t>days</t>
        </is>
      </c>
      <c r="D59" s="21" t="n"/>
      <c r="E59" s="21" t="n"/>
      <c r="F59" s="21" t="n"/>
      <c r="G59" s="22" t="n"/>
      <c r="H59" s="23" t="n"/>
      <c r="I59" s="23" t="n"/>
      <c r="J59" s="23" t="n"/>
      <c r="K59" s="23" t="n"/>
      <c r="L59" s="23" t="n"/>
    </row>
    <row r="60">
      <c r="A60" s="1" t="inlineStr">
        <is>
          <t>AP Days</t>
        </is>
      </c>
      <c r="B60" s="14" t="inlineStr">
        <is>
          <t>days</t>
        </is>
      </c>
      <c r="D60" s="24" t="n"/>
      <c r="E60" s="24" t="n"/>
      <c r="F60" s="24" t="n"/>
      <c r="G60" s="25" t="n"/>
      <c r="H60" s="26" t="n"/>
      <c r="I60" s="26" t="n"/>
      <c r="J60" s="26" t="n"/>
      <c r="K60" s="26" t="n"/>
      <c r="L60" s="26" t="n"/>
    </row>
    <row r="61">
      <c r="A61" s="1" t="inlineStr">
        <is>
          <t>Inventory Days</t>
        </is>
      </c>
      <c r="B61" s="14" t="inlineStr">
        <is>
          <t>days</t>
        </is>
      </c>
      <c r="D61" s="21" t="n"/>
      <c r="E61" s="21" t="n"/>
      <c r="F61" s="21" t="n"/>
      <c r="G61" s="22" t="n"/>
      <c r="H61" s="23" t="n"/>
      <c r="I61" s="23" t="n"/>
      <c r="J61" s="23" t="n"/>
      <c r="K61" s="23" t="n"/>
      <c r="L61" s="23" t="n"/>
    </row>
    <row r="62">
      <c r="D62" s="8" t="n"/>
      <c r="E62" s="8" t="n"/>
      <c r="F62" s="8" t="n"/>
      <c r="G62" s="9" t="n"/>
      <c r="H62" s="8" t="n"/>
      <c r="I62" s="8" t="n"/>
      <c r="J62" s="8" t="n"/>
      <c r="K62" s="8" t="n"/>
      <c r="L62" s="8" t="n"/>
    </row>
    <row r="63">
      <c r="G63" s="18" t="n"/>
    </row>
    <row r="64">
      <c r="D64" s="8" t="n"/>
      <c r="E64" s="8" t="n"/>
      <c r="F64" s="8" t="n"/>
      <c r="G64" s="9" t="n"/>
      <c r="H64" s="8" t="n"/>
      <c r="I64" s="8" t="n"/>
      <c r="J64" s="8" t="n"/>
      <c r="K64" s="8" t="n"/>
      <c r="L64" s="8" t="n"/>
    </row>
    <row r="65">
      <c r="A65" s="19" t="inlineStr">
        <is>
          <t>TAX &amp; OTHER</t>
        </is>
      </c>
      <c r="B65" s="20" t="n"/>
      <c r="C65" s="20" t="n"/>
      <c r="D65" s="20" t="n"/>
      <c r="E65" s="20" t="n"/>
      <c r="F65" s="20" t="n"/>
      <c r="G65" s="36" t="n"/>
      <c r="H65" s="20" t="n"/>
      <c r="I65" s="20" t="n"/>
      <c r="J65" s="20" t="n"/>
      <c r="K65" s="20" t="n"/>
      <c r="L65" s="20" t="n"/>
    </row>
    <row r="66">
      <c r="A66" s="1" t="inlineStr">
        <is>
          <t>Effective Tax Rate</t>
        </is>
      </c>
      <c r="B66" s="14" t="inlineStr">
        <is>
          <t>%</t>
        </is>
      </c>
      <c r="D66" s="30" t="n"/>
      <c r="E66" s="30" t="n"/>
      <c r="F66" s="30" t="n"/>
      <c r="G66" s="31" t="n"/>
      <c r="H66" s="32" t="n"/>
      <c r="I66" s="32" t="n"/>
      <c r="J66" s="32" t="n"/>
      <c r="K66" s="32" t="n"/>
      <c r="L66" s="32" t="n"/>
    </row>
    <row r="67">
      <c r="A67" s="1" t="inlineStr">
        <is>
          <t>Dividend Payout Ratio</t>
        </is>
      </c>
      <c r="B67" s="14" t="inlineStr">
        <is>
          <t>%</t>
        </is>
      </c>
      <c r="D67" s="27" t="n"/>
      <c r="E67" s="27" t="n"/>
      <c r="F67" s="27" t="n"/>
      <c r="G67" s="28" t="n"/>
      <c r="H67" s="29" t="n"/>
      <c r="I67" s="29" t="n"/>
      <c r="J67" s="29" t="n"/>
      <c r="K67" s="29" t="n"/>
      <c r="L67" s="29" t="n"/>
    </row>
    <row r="68">
      <c r="A68" s="1" t="inlineStr">
        <is>
          <t>Interest Rate (avg)</t>
        </is>
      </c>
      <c r="B68" s="14" t="inlineStr">
        <is>
          <t>%</t>
        </is>
      </c>
      <c r="D68" s="30" t="n"/>
      <c r="E68" s="30" t="n"/>
      <c r="F68" s="30" t="n"/>
      <c r="G68" s="31" t="n"/>
      <c r="H68" s="32" t="n"/>
      <c r="I68" s="32" t="n"/>
      <c r="J68" s="32" t="n"/>
      <c r="K68" s="32" t="n"/>
      <c r="L68" s="32" t="n"/>
    </row>
  </sheetData>
  <mergeCells count="1">
    <mergeCell ref="A1:L1"/>
  </mergeCells>
  <dataValidations count="1">
    <dataValidation sqref="H6" showDropDown="0" showInputMessage="0" showErrorMessage="0" allowBlank="1" errorTitle="Invalid Scenario" error="Please select Base, Upside, or Downside" type="list">
      <formula1>"Base,Upside,Downside"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Revenue Build-up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3">
      <c r="D3" s="6" t="n">
        <v>2021</v>
      </c>
      <c r="E3" s="6" t="n">
        <v>2022</v>
      </c>
      <c r="F3" s="6" t="n">
        <v>2023</v>
      </c>
      <c r="G3" s="7" t="n">
        <v>2024</v>
      </c>
      <c r="H3" s="6" t="inlineStr">
        <is>
          <t>2025E</t>
        </is>
      </c>
      <c r="I3" s="6" t="inlineStr">
        <is>
          <t>2026E</t>
        </is>
      </c>
      <c r="J3" s="6" t="inlineStr">
        <is>
          <t>2027E</t>
        </is>
      </c>
      <c r="K3" s="6" t="inlineStr">
        <is>
          <t>2028E</t>
        </is>
      </c>
      <c r="L3" s="6" t="inlineStr">
        <is>
          <t>2029E</t>
        </is>
      </c>
    </row>
    <row r="4">
      <c r="D4" s="8" t="n"/>
      <c r="E4" s="8" t="n"/>
      <c r="F4" s="8" t="n"/>
      <c r="G4" s="9" t="n"/>
      <c r="H4" s="8" t="n"/>
      <c r="I4" s="8" t="n"/>
      <c r="J4" s="8" t="n"/>
      <c r="K4" s="8" t="n"/>
      <c r="L4" s="8" t="n"/>
    </row>
    <row r="5">
      <c r="A5" s="19" t="inlineStr">
        <is>
          <t>BOTTOM-UP REVENUE BUILD</t>
        </is>
      </c>
      <c r="B5" s="20" t="n"/>
      <c r="C5" s="20" t="n"/>
      <c r="D5" s="20" t="n"/>
      <c r="E5" s="20" t="n"/>
      <c r="F5" s="20" t="n"/>
      <c r="G5" s="36" t="n"/>
      <c r="H5" s="20" t="n"/>
      <c r="I5" s="20" t="n"/>
      <c r="J5" s="20" t="n"/>
      <c r="K5" s="20" t="n"/>
      <c r="L5" s="20" t="n"/>
    </row>
    <row r="6">
      <c r="A6" s="1" t="inlineStr">
        <is>
          <t>Segment A</t>
        </is>
      </c>
      <c r="B6" s="14" t="inlineStr">
        <is>
          <t>RMB mn</t>
        </is>
      </c>
      <c r="D6" s="24" t="n"/>
      <c r="E6" s="24" t="n"/>
      <c r="F6" s="24" t="n"/>
      <c r="G6" s="25" t="n"/>
      <c r="H6" s="26" t="n"/>
      <c r="I6" s="26" t="n"/>
      <c r="J6" s="26" t="n"/>
      <c r="K6" s="26" t="n"/>
      <c r="L6" s="26" t="n"/>
    </row>
    <row r="7">
      <c r="A7" s="1" t="inlineStr">
        <is>
          <t>Segment B</t>
        </is>
      </c>
      <c r="B7" s="14" t="inlineStr">
        <is>
          <t>RMB mn</t>
        </is>
      </c>
      <c r="D7" s="21" t="n"/>
      <c r="E7" s="21" t="n"/>
      <c r="F7" s="21" t="n"/>
      <c r="G7" s="22" t="n"/>
      <c r="H7" s="23" t="n"/>
      <c r="I7" s="23" t="n"/>
      <c r="J7" s="23" t="n"/>
      <c r="K7" s="23" t="n"/>
      <c r="L7" s="23" t="n"/>
    </row>
    <row r="8">
      <c r="A8" s="1" t="inlineStr">
        <is>
          <t>Segment C</t>
        </is>
      </c>
      <c r="B8" s="14" t="inlineStr">
        <is>
          <t>RMB mn</t>
        </is>
      </c>
      <c r="D8" s="24" t="n"/>
      <c r="E8" s="24" t="n"/>
      <c r="F8" s="24" t="n"/>
      <c r="G8" s="25" t="n"/>
      <c r="H8" s="26" t="n"/>
      <c r="I8" s="26" t="n"/>
      <c r="J8" s="26" t="n"/>
      <c r="K8" s="26" t="n"/>
      <c r="L8" s="26" t="n"/>
    </row>
    <row r="9">
      <c r="G9" s="18" t="n"/>
    </row>
    <row r="10">
      <c r="A10" s="33" t="inlineStr">
        <is>
          <t>Total Revenue (Bottom-Up)</t>
        </is>
      </c>
      <c r="B10" s="14" t="inlineStr">
        <is>
          <t>RMB mn</t>
        </is>
      </c>
      <c r="D10" s="34" t="n"/>
      <c r="E10" s="34" t="n"/>
      <c r="F10" s="34" t="n"/>
      <c r="G10" s="35" t="n"/>
      <c r="H10" s="34" t="n"/>
      <c r="I10" s="34" t="n"/>
      <c r="J10" s="34" t="n"/>
      <c r="K10" s="34" t="n"/>
      <c r="L10" s="34" t="n"/>
    </row>
    <row r="11">
      <c r="G11" s="18" t="n"/>
    </row>
    <row r="12">
      <c r="A12" s="19" t="inlineStr">
        <is>
          <t>TOP-DOWN CROSS-CHECK</t>
        </is>
      </c>
      <c r="B12" s="20" t="n"/>
      <c r="C12" s="20" t="n"/>
      <c r="D12" s="8" t="n"/>
      <c r="E12" s="8" t="n"/>
      <c r="F12" s="8" t="n"/>
      <c r="G12" s="9" t="n"/>
      <c r="H12" s="8" t="n"/>
      <c r="I12" s="8" t="n"/>
      <c r="J12" s="8" t="n"/>
      <c r="K12" s="8" t="n"/>
      <c r="L12" s="8" t="n"/>
    </row>
    <row r="13">
      <c r="A13" s="1" t="inlineStr">
        <is>
          <t>Total Addressable Market</t>
        </is>
      </c>
      <c r="B13" s="14" t="inlineStr">
        <is>
          <t>RMB mn</t>
        </is>
      </c>
      <c r="D13" s="21" t="n"/>
      <c r="E13" s="21" t="n"/>
      <c r="F13" s="21" t="n"/>
      <c r="G13" s="22" t="n"/>
      <c r="H13" s="23" t="n"/>
      <c r="I13" s="23" t="n"/>
      <c r="J13" s="23" t="n"/>
      <c r="K13" s="23" t="n"/>
      <c r="L13" s="23" t="n"/>
    </row>
    <row r="14">
      <c r="A14" s="1" t="inlineStr">
        <is>
          <t>Market Penetration</t>
        </is>
      </c>
      <c r="B14" s="14" t="inlineStr">
        <is>
          <t>%</t>
        </is>
      </c>
      <c r="D14" s="30" t="n"/>
      <c r="E14" s="30" t="n"/>
      <c r="F14" s="30" t="n"/>
      <c r="G14" s="31" t="n"/>
      <c r="H14" s="32" t="n"/>
      <c r="I14" s="32" t="n"/>
      <c r="J14" s="32" t="n"/>
      <c r="K14" s="32" t="n"/>
      <c r="L14" s="32" t="n"/>
    </row>
    <row r="15">
      <c r="A15" s="1" t="inlineStr">
        <is>
          <t>Market Share</t>
        </is>
      </c>
      <c r="B15" s="14" t="inlineStr">
        <is>
          <t>%</t>
        </is>
      </c>
      <c r="D15" s="27" t="n"/>
      <c r="E15" s="27" t="n"/>
      <c r="F15" s="27" t="n"/>
      <c r="G15" s="28" t="n"/>
      <c r="H15" s="29" t="n"/>
      <c r="I15" s="29" t="n"/>
      <c r="J15" s="29" t="n"/>
      <c r="K15" s="29" t="n"/>
      <c r="L15" s="29" t="n"/>
    </row>
    <row r="16">
      <c r="D16" s="8" t="n"/>
      <c r="E16" s="8" t="n"/>
      <c r="F16" s="8" t="n"/>
      <c r="G16" s="9" t="n"/>
      <c r="H16" s="8" t="n"/>
      <c r="I16" s="8" t="n"/>
      <c r="J16" s="8" t="n"/>
      <c r="K16" s="8" t="n"/>
      <c r="L16" s="8" t="n"/>
    </row>
    <row r="17">
      <c r="A17" s="33" t="inlineStr">
        <is>
          <t>Total Revenue (Top-Down)</t>
        </is>
      </c>
      <c r="B17" s="14" t="inlineStr">
        <is>
          <t>RMB mn</t>
        </is>
      </c>
      <c r="D17" s="37" t="n"/>
      <c r="E17" s="37" t="n"/>
      <c r="F17" s="37" t="n"/>
      <c r="G17" s="38" t="n"/>
      <c r="H17" s="37" t="n"/>
      <c r="I17" s="37" t="n"/>
      <c r="J17" s="37" t="n"/>
      <c r="K17" s="37" t="n"/>
      <c r="L17" s="37" t="n"/>
    </row>
    <row r="18">
      <c r="D18" s="8" t="n"/>
      <c r="E18" s="8" t="n"/>
      <c r="F18" s="8" t="n"/>
      <c r="G18" s="9" t="n"/>
      <c r="H18" s="8" t="n"/>
      <c r="I18" s="8" t="n"/>
      <c r="J18" s="8" t="n"/>
      <c r="K18" s="8" t="n"/>
      <c r="L18" s="8" t="n"/>
    </row>
    <row r="19">
      <c r="A19" s="19" t="inlineStr">
        <is>
          <t>RECONCILIATION</t>
        </is>
      </c>
      <c r="B19" s="20" t="n"/>
      <c r="C19" s="20" t="n"/>
      <c r="D19" s="20" t="n"/>
      <c r="E19" s="20" t="n"/>
      <c r="F19" s="20" t="n"/>
      <c r="G19" s="36" t="n"/>
      <c r="H19" s="20" t="n"/>
      <c r="I19" s="20" t="n"/>
      <c r="J19" s="20" t="n"/>
      <c r="K19" s="20" t="n"/>
      <c r="L19" s="20" t="n"/>
    </row>
    <row r="20">
      <c r="A20" s="1" t="inlineStr">
        <is>
          <t>BU vs TD Variance</t>
        </is>
      </c>
      <c r="B20" s="14" t="inlineStr">
        <is>
          <t>%</t>
        </is>
      </c>
      <c r="D20" s="30" t="n"/>
      <c r="E20" s="30" t="n"/>
      <c r="F20" s="30" t="n"/>
      <c r="G20" s="31" t="n"/>
      <c r="H20" s="32" t="n"/>
      <c r="I20" s="32" t="n"/>
      <c r="J20" s="32" t="n"/>
      <c r="K20" s="32" t="n"/>
      <c r="L20" s="32" t="n"/>
    </row>
    <row r="21">
      <c r="A21" s="1" t="inlineStr">
        <is>
          <t>Flag (&gt;10% = CHECK)</t>
        </is>
      </c>
      <c r="D21" s="2" t="n"/>
      <c r="E21" s="2" t="n"/>
      <c r="F21" s="2" t="n"/>
      <c r="G21" s="10" t="n"/>
      <c r="H21" s="3" t="n"/>
      <c r="I21" s="3" t="n"/>
      <c r="J21" s="3" t="n"/>
      <c r="K21" s="3" t="n"/>
      <c r="L21" s="3" t="n"/>
    </row>
    <row r="22">
      <c r="D22" s="8" t="n"/>
      <c r="E22" s="8" t="n"/>
      <c r="F22" s="8" t="n"/>
      <c r="G22" s="9" t="n"/>
      <c r="H22" s="8" t="n"/>
      <c r="I22" s="8" t="n"/>
      <c r="J22" s="8" t="n"/>
      <c r="K22" s="8" t="n"/>
      <c r="L22" s="8" t="n"/>
    </row>
    <row r="23">
      <c r="A23" s="19" t="inlineStr">
        <is>
          <t>REVENUE MIX</t>
        </is>
      </c>
      <c r="B23" s="20" t="n"/>
      <c r="C23" s="20" t="n"/>
      <c r="D23" s="20" t="n"/>
      <c r="E23" s="20" t="n"/>
      <c r="F23" s="20" t="n"/>
      <c r="G23" s="36" t="n"/>
      <c r="H23" s="20" t="n"/>
      <c r="I23" s="20" t="n"/>
      <c r="J23" s="20" t="n"/>
      <c r="K23" s="20" t="n"/>
      <c r="L23" s="20" t="n"/>
    </row>
    <row r="24">
      <c r="A24" s="1" t="inlineStr">
        <is>
          <t>Segment A %</t>
        </is>
      </c>
      <c r="B24" s="14" t="inlineStr">
        <is>
          <t>%</t>
        </is>
      </c>
      <c r="D24" s="30" t="n"/>
      <c r="E24" s="30" t="n"/>
      <c r="F24" s="30" t="n"/>
      <c r="G24" s="31" t="n"/>
      <c r="H24" s="32" t="n"/>
      <c r="I24" s="32" t="n"/>
      <c r="J24" s="32" t="n"/>
      <c r="K24" s="32" t="n"/>
      <c r="L24" s="32" t="n"/>
    </row>
    <row r="25">
      <c r="A25" s="1" t="inlineStr">
        <is>
          <t>Segment B %</t>
        </is>
      </c>
      <c r="B25" s="14" t="inlineStr">
        <is>
          <t>%</t>
        </is>
      </c>
      <c r="D25" s="27" t="n"/>
      <c r="E25" s="27" t="n"/>
      <c r="F25" s="27" t="n"/>
      <c r="G25" s="28" t="n"/>
      <c r="H25" s="29" t="n"/>
      <c r="I25" s="29" t="n"/>
      <c r="J25" s="29" t="n"/>
      <c r="K25" s="29" t="n"/>
      <c r="L25" s="29" t="n"/>
    </row>
    <row r="26">
      <c r="A26" s="1" t="inlineStr">
        <is>
          <t>Segment C %</t>
        </is>
      </c>
      <c r="B26" s="14" t="inlineStr">
        <is>
          <t>%</t>
        </is>
      </c>
      <c r="D26" s="30" t="n"/>
      <c r="E26" s="30" t="n"/>
      <c r="F26" s="30" t="n"/>
      <c r="G26" s="31" t="n"/>
      <c r="H26" s="32" t="n"/>
      <c r="I26" s="32" t="n"/>
      <c r="J26" s="32" t="n"/>
      <c r="K26" s="32" t="n"/>
      <c r="L26" s="32" t="n"/>
    </row>
    <row r="27">
      <c r="G27" s="18" t="n"/>
    </row>
    <row r="28">
      <c r="A28" s="19" t="inlineStr">
        <is>
          <t>YOY GROWTH</t>
        </is>
      </c>
      <c r="B28" s="20" t="n"/>
      <c r="C28" s="20" t="n"/>
      <c r="D28" s="8" t="n"/>
      <c r="E28" s="8" t="n"/>
      <c r="F28" s="8" t="n"/>
      <c r="G28" s="9" t="n"/>
      <c r="H28" s="8" t="n"/>
      <c r="I28" s="8" t="n"/>
      <c r="J28" s="8" t="n"/>
      <c r="K28" s="8" t="n"/>
      <c r="L28" s="8" t="n"/>
    </row>
    <row r="29">
      <c r="A29" s="1" t="inlineStr">
        <is>
          <t>Total Revenue Growth</t>
        </is>
      </c>
      <c r="B29" s="14" t="inlineStr">
        <is>
          <t>%</t>
        </is>
      </c>
      <c r="D29" s="27" t="n"/>
      <c r="E29" s="27" t="n"/>
      <c r="F29" s="27" t="n"/>
      <c r="G29" s="28" t="n"/>
      <c r="H29" s="29" t="n"/>
      <c r="I29" s="29" t="n"/>
      <c r="J29" s="29" t="n"/>
      <c r="K29" s="29" t="n"/>
      <c r="L29" s="29" t="n"/>
    </row>
    <row r="30">
      <c r="A30" s="1" t="inlineStr">
        <is>
          <t>Segment A Growth</t>
        </is>
      </c>
      <c r="B30" s="14" t="inlineStr">
        <is>
          <t>%</t>
        </is>
      </c>
      <c r="D30" s="30" t="n"/>
      <c r="E30" s="30" t="n"/>
      <c r="F30" s="30" t="n"/>
      <c r="G30" s="31" t="n"/>
      <c r="H30" s="32" t="n"/>
      <c r="I30" s="32" t="n"/>
      <c r="J30" s="32" t="n"/>
      <c r="K30" s="32" t="n"/>
      <c r="L30" s="32" t="n"/>
    </row>
    <row r="31">
      <c r="A31" s="1" t="inlineStr">
        <is>
          <t>Segment B Growth</t>
        </is>
      </c>
      <c r="B31" s="14" t="inlineStr">
        <is>
          <t>%</t>
        </is>
      </c>
      <c r="D31" s="27" t="n"/>
      <c r="E31" s="27" t="n"/>
      <c r="F31" s="27" t="n"/>
      <c r="G31" s="28" t="n"/>
      <c r="H31" s="29" t="n"/>
      <c r="I31" s="29" t="n"/>
      <c r="J31" s="29" t="n"/>
      <c r="K31" s="29" t="n"/>
      <c r="L31" s="29" t="n"/>
    </row>
    <row r="32">
      <c r="A32" s="1" t="inlineStr">
        <is>
          <t>Segment C Growth</t>
        </is>
      </c>
      <c r="B32" s="14" t="inlineStr">
        <is>
          <t>%</t>
        </is>
      </c>
      <c r="D32" s="30" t="n"/>
      <c r="E32" s="30" t="n"/>
      <c r="F32" s="30" t="n"/>
      <c r="G32" s="31" t="n"/>
      <c r="H32" s="32" t="n"/>
      <c r="I32" s="32" t="n"/>
      <c r="J32" s="32" t="n"/>
      <c r="K32" s="32" t="n"/>
      <c r="L32" s="32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COGS &amp; OpEx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3">
      <c r="D3" s="6" t="n">
        <v>2021</v>
      </c>
      <c r="E3" s="6" t="n">
        <v>2022</v>
      </c>
      <c r="F3" s="6" t="n">
        <v>2023</v>
      </c>
      <c r="G3" s="7" t="n">
        <v>2024</v>
      </c>
      <c r="H3" s="6" t="inlineStr">
        <is>
          <t>2025E</t>
        </is>
      </c>
      <c r="I3" s="6" t="inlineStr">
        <is>
          <t>2026E</t>
        </is>
      </c>
      <c r="J3" s="6" t="inlineStr">
        <is>
          <t>2027E</t>
        </is>
      </c>
      <c r="K3" s="6" t="inlineStr">
        <is>
          <t>2028E</t>
        </is>
      </c>
      <c r="L3" s="6" t="inlineStr">
        <is>
          <t>2029E</t>
        </is>
      </c>
    </row>
    <row r="4">
      <c r="D4" s="8" t="n"/>
      <c r="E4" s="8" t="n"/>
      <c r="F4" s="8" t="n"/>
      <c r="G4" s="9" t="n"/>
      <c r="H4" s="8" t="n"/>
      <c r="I4" s="8" t="n"/>
      <c r="J4" s="8" t="n"/>
      <c r="K4" s="8" t="n"/>
      <c r="L4" s="8" t="n"/>
    </row>
    <row r="5">
      <c r="A5" s="19" t="inlineStr">
        <is>
          <t>COST OF GOODS SOLD</t>
        </is>
      </c>
      <c r="B5" s="20" t="n"/>
      <c r="C5" s="20" t="n"/>
      <c r="D5" s="20" t="n"/>
      <c r="E5" s="20" t="n"/>
      <c r="F5" s="20" t="n"/>
      <c r="G5" s="36" t="n"/>
      <c r="H5" s="20" t="n"/>
      <c r="I5" s="20" t="n"/>
      <c r="J5" s="20" t="n"/>
      <c r="K5" s="20" t="n"/>
      <c r="L5" s="20" t="n"/>
    </row>
    <row r="6">
      <c r="A6" s="1" t="inlineStr">
        <is>
          <t>COGS — Segment A</t>
        </is>
      </c>
      <c r="B6" s="14" t="inlineStr">
        <is>
          <t>RMB mn</t>
        </is>
      </c>
      <c r="D6" s="24" t="n"/>
      <c r="E6" s="24" t="n"/>
      <c r="F6" s="24" t="n"/>
      <c r="G6" s="25" t="n"/>
      <c r="H6" s="39">
        <f>'Key Assumptions'!H14*'Key Assumptions'!H38</f>
        <v/>
      </c>
      <c r="I6" s="39">
        <f>'Key Assumptions'!I14*'Key Assumptions'!I38</f>
        <v/>
      </c>
      <c r="J6" s="39">
        <f>'Key Assumptions'!J14*'Key Assumptions'!J38</f>
        <v/>
      </c>
      <c r="K6" s="39">
        <f>'Key Assumptions'!K14*'Key Assumptions'!K38</f>
        <v/>
      </c>
      <c r="L6" s="39">
        <f>'Key Assumptions'!L14*'Key Assumptions'!L38</f>
        <v/>
      </c>
    </row>
    <row r="7">
      <c r="A7" s="1" t="inlineStr">
        <is>
          <t>COGS — Segment B</t>
        </is>
      </c>
      <c r="B7" s="14" t="inlineStr">
        <is>
          <t>RMB mn</t>
        </is>
      </c>
      <c r="D7" s="21" t="n"/>
      <c r="E7" s="21" t="n"/>
      <c r="F7" s="21" t="n"/>
      <c r="G7" s="22" t="n"/>
      <c r="H7" s="40">
        <f>'Key Assumptions'!H22*'Key Assumptions'!H39</f>
        <v/>
      </c>
      <c r="I7" s="40">
        <f>'Key Assumptions'!I22*'Key Assumptions'!I39</f>
        <v/>
      </c>
      <c r="J7" s="40">
        <f>'Key Assumptions'!J22*'Key Assumptions'!J39</f>
        <v/>
      </c>
      <c r="K7" s="40">
        <f>'Key Assumptions'!K22*'Key Assumptions'!K39</f>
        <v/>
      </c>
      <c r="L7" s="40">
        <f>'Key Assumptions'!L22*'Key Assumptions'!L39</f>
        <v/>
      </c>
    </row>
    <row r="8">
      <c r="A8" s="1" t="inlineStr">
        <is>
          <t>COGS — Segment C</t>
        </is>
      </c>
      <c r="B8" s="14" t="inlineStr">
        <is>
          <t>RMB mn</t>
        </is>
      </c>
      <c r="D8" s="24" t="n"/>
      <c r="E8" s="24" t="n"/>
      <c r="F8" s="24" t="n"/>
      <c r="G8" s="25" t="n"/>
      <c r="H8" s="39">
        <f>'Key Assumptions'!H30*'Key Assumptions'!H40</f>
        <v/>
      </c>
      <c r="I8" s="39">
        <f>'Key Assumptions'!I30*'Key Assumptions'!I40</f>
        <v/>
      </c>
      <c r="J8" s="39">
        <f>'Key Assumptions'!J30*'Key Assumptions'!J40</f>
        <v/>
      </c>
      <c r="K8" s="39">
        <f>'Key Assumptions'!K30*'Key Assumptions'!K40</f>
        <v/>
      </c>
      <c r="L8" s="39">
        <f>'Key Assumptions'!L30*'Key Assumptions'!L40</f>
        <v/>
      </c>
    </row>
    <row r="9">
      <c r="G9" s="18" t="n"/>
    </row>
    <row r="10">
      <c r="A10" s="33" t="inlineStr">
        <is>
          <t>Total COGS</t>
        </is>
      </c>
      <c r="B10" s="14" t="inlineStr">
        <is>
          <t>RMB mn</t>
        </is>
      </c>
      <c r="D10" s="34" t="n"/>
      <c r="E10" s="34" t="n"/>
      <c r="F10" s="34" t="n"/>
      <c r="G10" s="35" t="n"/>
      <c r="H10" s="34">
        <f>H6+H7+H8</f>
        <v/>
      </c>
      <c r="I10" s="34">
        <f>I6+I7+I8</f>
        <v/>
      </c>
      <c r="J10" s="34">
        <f>J6+J7+J8</f>
        <v/>
      </c>
      <c r="K10" s="34">
        <f>K6+K7+K8</f>
        <v/>
      </c>
      <c r="L10" s="34">
        <f>L6+L7+L8</f>
        <v/>
      </c>
    </row>
    <row r="11">
      <c r="A11" s="1" t="inlineStr">
        <is>
          <t xml:space="preserve">  COGS % of Revenue</t>
        </is>
      </c>
      <c r="B11" s="14" t="inlineStr">
        <is>
          <t>%</t>
        </is>
      </c>
      <c r="D11" s="27" t="n"/>
      <c r="E11" s="27" t="n"/>
      <c r="F11" s="27" t="n"/>
      <c r="G11" s="28" t="n"/>
      <c r="H11" s="29">
        <f>IF('Key Assumptions'!H34=0,"",H10/'Key Assumptions'!H34)</f>
        <v/>
      </c>
      <c r="I11" s="29">
        <f>IF('Key Assumptions'!I34=0,"",I10/'Key Assumptions'!I34)</f>
        <v/>
      </c>
      <c r="J11" s="29">
        <f>IF('Key Assumptions'!J34=0,"",J10/'Key Assumptions'!J34)</f>
        <v/>
      </c>
      <c r="K11" s="29">
        <f>IF('Key Assumptions'!K34=0,"",K10/'Key Assumptions'!K34)</f>
        <v/>
      </c>
      <c r="L11" s="29">
        <f>IF('Key Assumptions'!L34=0,"",L10/'Key Assumptions'!L34)</f>
        <v/>
      </c>
    </row>
    <row r="12">
      <c r="D12" s="8" t="n"/>
      <c r="E12" s="8" t="n"/>
      <c r="F12" s="8" t="n"/>
      <c r="G12" s="9" t="n"/>
      <c r="H12" s="8" t="n"/>
      <c r="I12" s="8" t="n"/>
      <c r="J12" s="8" t="n"/>
      <c r="K12" s="8" t="n"/>
      <c r="L12" s="8" t="n"/>
    </row>
    <row r="13">
      <c r="A13" s="33" t="inlineStr">
        <is>
          <t>Gross Profit</t>
        </is>
      </c>
      <c r="B13" s="14" t="inlineStr">
        <is>
          <t>RMB mn</t>
        </is>
      </c>
      <c r="D13" s="37" t="n"/>
      <c r="E13" s="37" t="n"/>
      <c r="F13" s="37" t="n"/>
      <c r="G13" s="38" t="n"/>
      <c r="H13" s="37">
        <f>'Key Assumptions'!H34-H10</f>
        <v/>
      </c>
      <c r="I13" s="37">
        <f>'Key Assumptions'!I34-I10</f>
        <v/>
      </c>
      <c r="J13" s="37">
        <f>'Key Assumptions'!J34-J10</f>
        <v/>
      </c>
      <c r="K13" s="37">
        <f>'Key Assumptions'!K34-K10</f>
        <v/>
      </c>
      <c r="L13" s="37">
        <f>'Key Assumptions'!L34-L10</f>
        <v/>
      </c>
    </row>
    <row r="14">
      <c r="A14" s="1" t="inlineStr">
        <is>
          <t xml:space="preserve">  Gross Margin</t>
        </is>
      </c>
      <c r="B14" s="14" t="inlineStr">
        <is>
          <t>%</t>
        </is>
      </c>
      <c r="D14" s="30" t="n"/>
      <c r="E14" s="30" t="n"/>
      <c r="F14" s="30" t="n"/>
      <c r="G14" s="31" t="n"/>
      <c r="H14" s="32">
        <f>IF('Key Assumptions'!H34=0,"",H13/'Key Assumptions'!H34)</f>
        <v/>
      </c>
      <c r="I14" s="32">
        <f>IF('Key Assumptions'!I34=0,"",I13/'Key Assumptions'!I34)</f>
        <v/>
      </c>
      <c r="J14" s="32">
        <f>IF('Key Assumptions'!J34=0,"",J13/'Key Assumptions'!J34)</f>
        <v/>
      </c>
      <c r="K14" s="32">
        <f>IF('Key Assumptions'!K34=0,"",K13/'Key Assumptions'!K34)</f>
        <v/>
      </c>
      <c r="L14" s="32">
        <f>IF('Key Assumptions'!L34=0,"",L13/'Key Assumptions'!L34)</f>
        <v/>
      </c>
    </row>
    <row r="15">
      <c r="G15" s="18" t="n"/>
    </row>
    <row r="16">
      <c r="A16" s="19" t="inlineStr">
        <is>
          <t>SG&amp;A EXPENSES</t>
        </is>
      </c>
      <c r="B16" s="20" t="n"/>
      <c r="C16" s="20" t="n"/>
      <c r="D16" s="8" t="n"/>
      <c r="E16" s="8" t="n"/>
      <c r="F16" s="8" t="n"/>
      <c r="G16" s="9" t="n"/>
      <c r="H16" s="8" t="n"/>
      <c r="I16" s="8" t="n"/>
      <c r="J16" s="8" t="n"/>
      <c r="K16" s="8" t="n"/>
      <c r="L16" s="8" t="n"/>
    </row>
    <row r="17">
      <c r="A17" s="1" t="inlineStr">
        <is>
          <t>Personnel</t>
        </is>
      </c>
      <c r="B17" s="14" t="inlineStr">
        <is>
          <t>RMB mn</t>
        </is>
      </c>
      <c r="D17" s="21" t="n"/>
      <c r="E17" s="21" t="n"/>
      <c r="F17" s="21" t="n"/>
      <c r="G17" s="22" t="n"/>
      <c r="H17" s="40">
        <f>'Key Assumptions'!H34*'Key Assumptions'!H45</f>
        <v/>
      </c>
      <c r="I17" s="40">
        <f>'Key Assumptions'!I34*'Key Assumptions'!I45</f>
        <v/>
      </c>
      <c r="J17" s="40">
        <f>'Key Assumptions'!J34*'Key Assumptions'!J45</f>
        <v/>
      </c>
      <c r="K17" s="40">
        <f>'Key Assumptions'!K34*'Key Assumptions'!K45</f>
        <v/>
      </c>
      <c r="L17" s="40">
        <f>'Key Assumptions'!L34*'Key Assumptions'!L45</f>
        <v/>
      </c>
    </row>
    <row r="18">
      <c r="A18" s="1" t="inlineStr">
        <is>
          <t>Rent &amp; Facilities</t>
        </is>
      </c>
      <c r="B18" s="14" t="inlineStr">
        <is>
          <t>RMB mn</t>
        </is>
      </c>
      <c r="D18" s="24" t="n"/>
      <c r="E18" s="24" t="n"/>
      <c r="F18" s="24" t="n"/>
      <c r="G18" s="25" t="n"/>
      <c r="H18" s="39">
        <f>'Key Assumptions'!H34*'Key Assumptions'!H46</f>
        <v/>
      </c>
      <c r="I18" s="39">
        <f>'Key Assumptions'!I34*'Key Assumptions'!I46</f>
        <v/>
      </c>
      <c r="J18" s="39">
        <f>'Key Assumptions'!J34*'Key Assumptions'!J46</f>
        <v/>
      </c>
      <c r="K18" s="39">
        <f>'Key Assumptions'!K34*'Key Assumptions'!K46</f>
        <v/>
      </c>
      <c r="L18" s="39">
        <f>'Key Assumptions'!L34*'Key Assumptions'!L46</f>
        <v/>
      </c>
    </row>
    <row r="19">
      <c r="A19" s="1" t="inlineStr">
        <is>
          <t>Marketing &amp; Sales</t>
        </is>
      </c>
      <c r="B19" s="14" t="inlineStr">
        <is>
          <t>RMB mn</t>
        </is>
      </c>
      <c r="D19" s="21" t="n"/>
      <c r="E19" s="21" t="n"/>
      <c r="F19" s="21" t="n"/>
      <c r="G19" s="22" t="n"/>
      <c r="H19" s="40">
        <f>'Key Assumptions'!H34*'Key Assumptions'!H47</f>
        <v/>
      </c>
      <c r="I19" s="40">
        <f>'Key Assumptions'!I34*'Key Assumptions'!I47</f>
        <v/>
      </c>
      <c r="J19" s="40">
        <f>'Key Assumptions'!J34*'Key Assumptions'!J47</f>
        <v/>
      </c>
      <c r="K19" s="40">
        <f>'Key Assumptions'!K34*'Key Assumptions'!K47</f>
        <v/>
      </c>
      <c r="L19" s="40">
        <f>'Key Assumptions'!L34*'Key Assumptions'!L47</f>
        <v/>
      </c>
    </row>
    <row r="20">
      <c r="A20" s="1" t="inlineStr">
        <is>
          <t>Research &amp; Development</t>
        </is>
      </c>
      <c r="B20" s="14" t="inlineStr">
        <is>
          <t>RMB mn</t>
        </is>
      </c>
      <c r="D20" s="24" t="n"/>
      <c r="E20" s="24" t="n"/>
      <c r="F20" s="24" t="n"/>
      <c r="G20" s="25" t="n"/>
      <c r="H20" s="39">
        <f>'Key Assumptions'!H34*'Key Assumptions'!H48</f>
        <v/>
      </c>
      <c r="I20" s="39">
        <f>'Key Assumptions'!I34*'Key Assumptions'!I48</f>
        <v/>
      </c>
      <c r="J20" s="39">
        <f>'Key Assumptions'!J34*'Key Assumptions'!J48</f>
        <v/>
      </c>
      <c r="K20" s="39">
        <f>'Key Assumptions'!K34*'Key Assumptions'!K48</f>
        <v/>
      </c>
      <c r="L20" s="39">
        <f>'Key Assumptions'!L34*'Key Assumptions'!L48</f>
        <v/>
      </c>
    </row>
    <row r="21">
      <c r="A21" s="1" t="inlineStr">
        <is>
          <t>Other Operating Expenses</t>
        </is>
      </c>
      <c r="B21" s="14" t="inlineStr">
        <is>
          <t>RMB mn</t>
        </is>
      </c>
      <c r="D21" s="21" t="n"/>
      <c r="E21" s="21" t="n"/>
      <c r="F21" s="21" t="n"/>
      <c r="G21" s="22" t="n"/>
      <c r="H21" s="40">
        <f>'Key Assumptions'!H34*'Key Assumptions'!H49</f>
        <v/>
      </c>
      <c r="I21" s="40">
        <f>'Key Assumptions'!I34*'Key Assumptions'!I49</f>
        <v/>
      </c>
      <c r="J21" s="40">
        <f>'Key Assumptions'!J34*'Key Assumptions'!J49</f>
        <v/>
      </c>
      <c r="K21" s="40">
        <f>'Key Assumptions'!K34*'Key Assumptions'!K49</f>
        <v/>
      </c>
      <c r="L21" s="40">
        <f>'Key Assumptions'!L34*'Key Assumptions'!L49</f>
        <v/>
      </c>
    </row>
    <row r="22">
      <c r="D22" s="8" t="n"/>
      <c r="E22" s="8" t="n"/>
      <c r="F22" s="8" t="n"/>
      <c r="G22" s="9" t="n"/>
      <c r="H22" s="8" t="n"/>
      <c r="I22" s="8" t="n"/>
      <c r="J22" s="8" t="n"/>
      <c r="K22" s="8" t="n"/>
      <c r="L22" s="8" t="n"/>
    </row>
    <row r="23">
      <c r="A23" s="33" t="inlineStr">
        <is>
          <t>Total SG&amp;A</t>
        </is>
      </c>
      <c r="B23" s="14" t="inlineStr">
        <is>
          <t>RMB mn</t>
        </is>
      </c>
      <c r="D23" s="37" t="n"/>
      <c r="E23" s="37" t="n"/>
      <c r="F23" s="37" t="n"/>
      <c r="G23" s="38" t="n"/>
      <c r="H23" s="37">
        <f>H17+H18+H19+H20+H21</f>
        <v/>
      </c>
      <c r="I23" s="37">
        <f>I17+I18+I19+I20+I21</f>
        <v/>
      </c>
      <c r="J23" s="37">
        <f>J17+J18+J19+J20+J21</f>
        <v/>
      </c>
      <c r="K23" s="37">
        <f>K17+K18+K19+K20+K21</f>
        <v/>
      </c>
      <c r="L23" s="37">
        <f>L17+L18+L19+L20+L21</f>
        <v/>
      </c>
    </row>
    <row r="24">
      <c r="A24" s="1" t="inlineStr">
        <is>
          <t xml:space="preserve">  SG&amp;A % of Revenue</t>
        </is>
      </c>
      <c r="B24" s="14" t="inlineStr">
        <is>
          <t>%</t>
        </is>
      </c>
      <c r="D24" s="30" t="n"/>
      <c r="E24" s="30" t="n"/>
      <c r="F24" s="30" t="n"/>
      <c r="G24" s="31" t="n"/>
      <c r="H24" s="32">
        <f>IF('Key Assumptions'!H34=0,"",H23/'Key Assumptions'!H34)</f>
        <v/>
      </c>
      <c r="I24" s="32">
        <f>IF('Key Assumptions'!I34=0,"",I23/'Key Assumptions'!I34)</f>
        <v/>
      </c>
      <c r="J24" s="32">
        <f>IF('Key Assumptions'!J34=0,"",J23/'Key Assumptions'!J34)</f>
        <v/>
      </c>
      <c r="K24" s="32">
        <f>IF('Key Assumptions'!K34=0,"",K23/'Key Assumptions'!K34)</f>
        <v/>
      </c>
      <c r="L24" s="32">
        <f>IF('Key Assumptions'!L34=0,"",L23/'Key Assumptions'!L34)</f>
        <v/>
      </c>
    </row>
    <row r="25">
      <c r="G25" s="18" t="n"/>
    </row>
    <row r="26">
      <c r="A26" s="19" t="inlineStr">
        <is>
          <t>DEPRECIATION &amp; AMORTIZATION</t>
        </is>
      </c>
      <c r="B26" s="20" t="n"/>
      <c r="C26" s="20" t="n"/>
      <c r="D26" s="8" t="n"/>
      <c r="E26" s="8" t="n"/>
      <c r="F26" s="8" t="n"/>
      <c r="G26" s="9" t="n"/>
      <c r="H26" s="8" t="n"/>
      <c r="I26" s="8" t="n"/>
      <c r="J26" s="8" t="n"/>
      <c r="K26" s="8" t="n"/>
      <c r="L26" s="8" t="n"/>
    </row>
    <row r="27">
      <c r="A27" s="1" t="inlineStr">
        <is>
          <t>Depreciation</t>
        </is>
      </c>
      <c r="B27" s="14" t="inlineStr">
        <is>
          <t>RMB mn</t>
        </is>
      </c>
      <c r="D27" s="21" t="n"/>
      <c r="E27" s="21" t="n"/>
      <c r="F27" s="21" t="n"/>
      <c r="G27" s="22" t="n"/>
      <c r="H27" s="40">
        <f>'Debt &amp; CapEx'!H35</f>
        <v/>
      </c>
      <c r="I27" s="40">
        <f>'Debt &amp; CapEx'!I35</f>
        <v/>
      </c>
      <c r="J27" s="40">
        <f>'Debt &amp; CapEx'!J35</f>
        <v/>
      </c>
      <c r="K27" s="40">
        <f>'Debt &amp; CapEx'!K35</f>
        <v/>
      </c>
      <c r="L27" s="40">
        <f>'Debt &amp; CapEx'!L35</f>
        <v/>
      </c>
    </row>
    <row r="28">
      <c r="A28" s="1" t="inlineStr">
        <is>
          <t>Amortization</t>
        </is>
      </c>
      <c r="B28" s="14" t="inlineStr">
        <is>
          <t>RMB mn</t>
        </is>
      </c>
      <c r="D28" s="24" t="n"/>
      <c r="E28" s="24" t="n"/>
      <c r="F28" s="24" t="n"/>
      <c r="G28" s="25" t="n"/>
      <c r="H28" s="26" t="n">
        <v>0</v>
      </c>
      <c r="I28" s="26" t="n">
        <v>0</v>
      </c>
      <c r="J28" s="26" t="n">
        <v>0</v>
      </c>
      <c r="K28" s="26" t="n">
        <v>0</v>
      </c>
      <c r="L28" s="26" t="n">
        <v>0</v>
      </c>
    </row>
    <row r="29">
      <c r="A29" s="33" t="inlineStr">
        <is>
          <t>Total D&amp;A</t>
        </is>
      </c>
      <c r="B29" s="14" t="inlineStr">
        <is>
          <t>RMB mn</t>
        </is>
      </c>
      <c r="D29" s="37" t="n"/>
      <c r="E29" s="37" t="n"/>
      <c r="F29" s="37" t="n"/>
      <c r="G29" s="38" t="n"/>
      <c r="H29" s="37">
        <f>H27+H28</f>
        <v/>
      </c>
      <c r="I29" s="37">
        <f>I27+I28</f>
        <v/>
      </c>
      <c r="J29" s="37">
        <f>J27+J28</f>
        <v/>
      </c>
      <c r="K29" s="37">
        <f>K27+K28</f>
        <v/>
      </c>
      <c r="L29" s="37">
        <f>L27+L28</f>
        <v/>
      </c>
    </row>
    <row r="30">
      <c r="D30" s="8" t="n"/>
      <c r="E30" s="8" t="n"/>
      <c r="F30" s="8" t="n"/>
      <c r="G30" s="9" t="n"/>
      <c r="H30" s="8" t="n"/>
      <c r="I30" s="8" t="n"/>
      <c r="J30" s="8" t="n"/>
      <c r="K30" s="8" t="n"/>
      <c r="L30" s="8" t="n"/>
    </row>
    <row r="31">
      <c r="A31" s="33" t="inlineStr">
        <is>
          <t>Total Operating Expenses</t>
        </is>
      </c>
      <c r="B31" s="14" t="inlineStr">
        <is>
          <t>RMB mn</t>
        </is>
      </c>
      <c r="D31" s="37" t="n"/>
      <c r="E31" s="37" t="n"/>
      <c r="F31" s="37" t="n"/>
      <c r="G31" s="38" t="n"/>
      <c r="H31" s="37">
        <f>H23+H29</f>
        <v/>
      </c>
      <c r="I31" s="37">
        <f>I23+I29</f>
        <v/>
      </c>
      <c r="J31" s="37">
        <f>J23+J29</f>
        <v/>
      </c>
      <c r="K31" s="37">
        <f>K23+K29</f>
        <v/>
      </c>
      <c r="L31" s="37">
        <f>L23+L29</f>
        <v/>
      </c>
    </row>
    <row r="32">
      <c r="D32" s="8" t="n"/>
      <c r="E32" s="8" t="n"/>
      <c r="F32" s="8" t="n"/>
      <c r="G32" s="9" t="n"/>
      <c r="H32" s="8" t="n"/>
      <c r="I32" s="8" t="n"/>
      <c r="J32" s="8" t="n"/>
      <c r="K32" s="8" t="n"/>
      <c r="L32" s="8" t="n"/>
    </row>
    <row r="33">
      <c r="A33" s="19" t="inlineStr">
        <is>
          <t>EBITDA BRIDGE</t>
        </is>
      </c>
      <c r="B33" s="20" t="n"/>
      <c r="C33" s="20" t="n"/>
      <c r="D33" s="20" t="n"/>
      <c r="E33" s="20" t="n"/>
      <c r="F33" s="20" t="n"/>
      <c r="G33" s="36" t="n"/>
      <c r="H33" s="20" t="n"/>
      <c r="I33" s="20" t="n"/>
      <c r="J33" s="20" t="n"/>
      <c r="K33" s="20" t="n"/>
      <c r="L33" s="20" t="n"/>
    </row>
    <row r="34">
      <c r="A34" s="33" t="inlineStr">
        <is>
          <t>EBITDA</t>
        </is>
      </c>
      <c r="B34" s="14" t="inlineStr">
        <is>
          <t>RMB mn</t>
        </is>
      </c>
      <c r="D34" s="34" t="n"/>
      <c r="E34" s="34" t="n"/>
      <c r="F34" s="34" t="n"/>
      <c r="G34" s="35" t="n"/>
      <c r="H34" s="34">
        <f>H13-H23</f>
        <v/>
      </c>
      <c r="I34" s="34">
        <f>I13-I23</f>
        <v/>
      </c>
      <c r="J34" s="34">
        <f>J13-J23</f>
        <v/>
      </c>
      <c r="K34" s="34">
        <f>K13-K23</f>
        <v/>
      </c>
      <c r="L34" s="34">
        <f>L13-L23</f>
        <v/>
      </c>
    </row>
    <row r="35">
      <c r="A35" s="1" t="inlineStr">
        <is>
          <t xml:space="preserve">  EBITDA Margin</t>
        </is>
      </c>
      <c r="B35" s="14" t="inlineStr">
        <is>
          <t>%</t>
        </is>
      </c>
      <c r="D35" s="27" t="n"/>
      <c r="E35" s="27" t="n"/>
      <c r="F35" s="27" t="n"/>
      <c r="G35" s="28" t="n"/>
      <c r="H35" s="29">
        <f>IF('Key Assumptions'!H34=0,"",H34/'Key Assumptions'!H34)</f>
        <v/>
      </c>
      <c r="I35" s="29">
        <f>IF('Key Assumptions'!I34=0,"",I34/'Key Assumptions'!I34)</f>
        <v/>
      </c>
      <c r="J35" s="29">
        <f>IF('Key Assumptions'!J34=0,"",J34/'Key Assumptions'!J34)</f>
        <v/>
      </c>
      <c r="K35" s="29">
        <f>IF('Key Assumptions'!K34=0,"",K34/'Key Assumptions'!K34)</f>
        <v/>
      </c>
      <c r="L35" s="29">
        <f>IF('Key Assumptions'!L34=0,"",L34/'Key Assumptions'!L34)</f>
        <v/>
      </c>
    </row>
    <row r="36">
      <c r="D36" s="8" t="n"/>
      <c r="E36" s="8" t="n"/>
      <c r="F36" s="8" t="n"/>
      <c r="G36" s="9" t="n"/>
      <c r="H36" s="8" t="n"/>
      <c r="I36" s="8" t="n"/>
      <c r="J36" s="8" t="n"/>
      <c r="K36" s="8" t="n"/>
      <c r="L36" s="8" t="n"/>
    </row>
    <row r="37">
      <c r="A37" s="33" t="inlineStr">
        <is>
          <t>EBIT</t>
        </is>
      </c>
      <c r="B37" s="14" t="inlineStr">
        <is>
          <t>RMB mn</t>
        </is>
      </c>
      <c r="D37" s="37" t="n"/>
      <c r="E37" s="37" t="n"/>
      <c r="F37" s="37" t="n"/>
      <c r="G37" s="38" t="n"/>
      <c r="H37" s="37">
        <f>H34-H29</f>
        <v/>
      </c>
      <c r="I37" s="37">
        <f>I34-I29</f>
        <v/>
      </c>
      <c r="J37" s="37">
        <f>J34-J29</f>
        <v/>
      </c>
      <c r="K37" s="37">
        <f>K34-K29</f>
        <v/>
      </c>
      <c r="L37" s="37">
        <f>L34-L29</f>
        <v/>
      </c>
    </row>
    <row r="38">
      <c r="A38" s="1" t="inlineStr">
        <is>
          <t xml:space="preserve">  EBIT Margin</t>
        </is>
      </c>
      <c r="B38" s="14" t="inlineStr">
        <is>
          <t>%</t>
        </is>
      </c>
      <c r="D38" s="30" t="n"/>
      <c r="E38" s="30" t="n"/>
      <c r="F38" s="30" t="n"/>
      <c r="G38" s="31" t="n"/>
      <c r="H38" s="32">
        <f>IF('Key Assumptions'!H34=0,"",H37/'Key Assumptions'!H34)</f>
        <v/>
      </c>
      <c r="I38" s="32">
        <f>IF('Key Assumptions'!I34=0,"",I37/'Key Assumptions'!I34)</f>
        <v/>
      </c>
      <c r="J38" s="32">
        <f>IF('Key Assumptions'!J34=0,"",J37/'Key Assumptions'!J34)</f>
        <v/>
      </c>
      <c r="K38" s="32">
        <f>IF('Key Assumptions'!K34=0,"",K37/'Key Assumptions'!K34)</f>
        <v/>
      </c>
      <c r="L38" s="32">
        <f>IF('Key Assumptions'!L34=0,"",L37/'Key Assumptions'!L34)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Income Statement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3">
      <c r="D3" s="6" t="n">
        <v>2021</v>
      </c>
      <c r="E3" s="6" t="n">
        <v>2022</v>
      </c>
      <c r="F3" s="6" t="n">
        <v>2023</v>
      </c>
      <c r="G3" s="7" t="n">
        <v>2024</v>
      </c>
      <c r="H3" s="6" t="inlineStr">
        <is>
          <t>2025E</t>
        </is>
      </c>
      <c r="I3" s="6" t="inlineStr">
        <is>
          <t>2026E</t>
        </is>
      </c>
      <c r="J3" s="6" t="inlineStr">
        <is>
          <t>2027E</t>
        </is>
      </c>
      <c r="K3" s="6" t="inlineStr">
        <is>
          <t>2028E</t>
        </is>
      </c>
      <c r="L3" s="6" t="inlineStr">
        <is>
          <t>2029E</t>
        </is>
      </c>
    </row>
    <row r="4">
      <c r="D4" s="8" t="n"/>
      <c r="E4" s="8" t="n"/>
      <c r="F4" s="8" t="n"/>
      <c r="G4" s="9" t="n"/>
      <c r="H4" s="8" t="n"/>
      <c r="I4" s="8" t="n"/>
      <c r="J4" s="8" t="n"/>
      <c r="K4" s="8" t="n"/>
      <c r="L4" s="8" t="n"/>
    </row>
    <row r="5">
      <c r="A5" s="1" t="inlineStr">
        <is>
          <t>Revenue</t>
        </is>
      </c>
      <c r="B5" s="14" t="inlineStr">
        <is>
          <t>RMB mn</t>
        </is>
      </c>
      <c r="D5" s="21" t="n"/>
      <c r="E5" s="21" t="n"/>
      <c r="F5" s="21" t="n"/>
      <c r="G5" s="22" t="n"/>
      <c r="H5" s="40">
        <f>'Key Assumptions'!H34</f>
        <v/>
      </c>
      <c r="I5" s="40">
        <f>'Key Assumptions'!I34</f>
        <v/>
      </c>
      <c r="J5" s="40">
        <f>'Key Assumptions'!J34</f>
        <v/>
      </c>
      <c r="K5" s="40">
        <f>'Key Assumptions'!K34</f>
        <v/>
      </c>
      <c r="L5" s="40">
        <f>'Key Assumptions'!L34</f>
        <v/>
      </c>
    </row>
    <row r="6">
      <c r="D6" s="8" t="n"/>
      <c r="E6" s="8" t="n"/>
      <c r="F6" s="8" t="n"/>
      <c r="G6" s="9" t="n"/>
      <c r="H6" s="8" t="n"/>
      <c r="I6" s="8" t="n"/>
      <c r="J6" s="8" t="n"/>
      <c r="K6" s="8" t="n"/>
      <c r="L6" s="8" t="n"/>
    </row>
    <row r="7">
      <c r="A7" s="1" t="inlineStr">
        <is>
          <t>Cost of Goods Sold</t>
        </is>
      </c>
      <c r="B7" s="14" t="inlineStr">
        <is>
          <t>RMB mn</t>
        </is>
      </c>
      <c r="D7" s="21" t="n"/>
      <c r="E7" s="21" t="n"/>
      <c r="F7" s="21" t="n"/>
      <c r="G7" s="22" t="n"/>
      <c r="H7" s="40">
        <f>'COGS &amp; OpEx'!H10</f>
        <v/>
      </c>
      <c r="I7" s="40">
        <f>'COGS &amp; OpEx'!I10</f>
        <v/>
      </c>
      <c r="J7" s="40">
        <f>'COGS &amp; OpEx'!J10</f>
        <v/>
      </c>
      <c r="K7" s="40">
        <f>'COGS &amp; OpEx'!K10</f>
        <v/>
      </c>
      <c r="L7" s="40">
        <f>'COGS &amp; OpEx'!L10</f>
        <v/>
      </c>
    </row>
    <row r="8">
      <c r="D8" s="8" t="n"/>
      <c r="E8" s="8" t="n"/>
      <c r="F8" s="8" t="n"/>
      <c r="G8" s="9" t="n"/>
      <c r="H8" s="8" t="n"/>
      <c r="I8" s="8" t="n"/>
      <c r="J8" s="8" t="n"/>
      <c r="K8" s="8" t="n"/>
      <c r="L8" s="8" t="n"/>
    </row>
    <row r="9">
      <c r="A9" s="33" t="inlineStr">
        <is>
          <t>Gross Profit</t>
        </is>
      </c>
      <c r="B9" s="14" t="inlineStr">
        <is>
          <t>RMB mn</t>
        </is>
      </c>
      <c r="D9" s="37" t="n"/>
      <c r="E9" s="37" t="n"/>
      <c r="F9" s="37" t="n"/>
      <c r="G9" s="38" t="n"/>
      <c r="H9" s="37">
        <f>H5-H7</f>
        <v/>
      </c>
      <c r="I9" s="37">
        <f>I5-I7</f>
        <v/>
      </c>
      <c r="J9" s="37">
        <f>J5-J7</f>
        <v/>
      </c>
      <c r="K9" s="37">
        <f>K5-K7</f>
        <v/>
      </c>
      <c r="L9" s="37">
        <f>L5-L7</f>
        <v/>
      </c>
    </row>
    <row r="10">
      <c r="A10" s="1" t="inlineStr">
        <is>
          <t xml:space="preserve">  Gross Margin</t>
        </is>
      </c>
      <c r="B10" s="14" t="inlineStr">
        <is>
          <t>%</t>
        </is>
      </c>
      <c r="D10" s="30" t="n"/>
      <c r="E10" s="30" t="n"/>
      <c r="F10" s="30" t="n"/>
      <c r="G10" s="31" t="n"/>
      <c r="H10" s="32">
        <f>IF(H5=0,"",H9/H5)</f>
        <v/>
      </c>
      <c r="I10" s="32">
        <f>IF(I5=0,"",I9/I5)</f>
        <v/>
      </c>
      <c r="J10" s="32">
        <f>IF(J5=0,"",J9/J5)</f>
        <v/>
      </c>
      <c r="K10" s="32">
        <f>IF(K5=0,"",K9/K5)</f>
        <v/>
      </c>
      <c r="L10" s="32">
        <f>IF(L5=0,"",L9/L5)</f>
        <v/>
      </c>
    </row>
    <row r="11">
      <c r="G11" s="18" t="n"/>
    </row>
    <row r="12">
      <c r="A12" s="1" t="inlineStr">
        <is>
          <t>SG&amp;A Expenses</t>
        </is>
      </c>
      <c r="B12" s="14" t="inlineStr">
        <is>
          <t>RMB mn</t>
        </is>
      </c>
      <c r="D12" s="24" t="n"/>
      <c r="E12" s="24" t="n"/>
      <c r="F12" s="24" t="n"/>
      <c r="G12" s="25" t="n"/>
      <c r="H12" s="39">
        <f>'COGS &amp; OpEx'!H23</f>
        <v/>
      </c>
      <c r="I12" s="39">
        <f>'COGS &amp; OpEx'!I23</f>
        <v/>
      </c>
      <c r="J12" s="39">
        <f>'COGS &amp; OpEx'!J23</f>
        <v/>
      </c>
      <c r="K12" s="39">
        <f>'COGS &amp; OpEx'!K23</f>
        <v/>
      </c>
      <c r="L12" s="39">
        <f>'COGS &amp; OpEx'!L23</f>
        <v/>
      </c>
    </row>
    <row r="13">
      <c r="A13" s="1" t="inlineStr">
        <is>
          <t>Other Income / (Expense)</t>
        </is>
      </c>
      <c r="B13" s="14" t="inlineStr">
        <is>
          <t>RMB mn</t>
        </is>
      </c>
      <c r="D13" s="21" t="n"/>
      <c r="E13" s="21" t="n"/>
      <c r="F13" s="21" t="n"/>
      <c r="G13" s="22" t="n"/>
      <c r="H13" s="23" t="n"/>
      <c r="I13" s="23" t="n"/>
      <c r="J13" s="23" t="n"/>
      <c r="K13" s="23" t="n"/>
      <c r="L13" s="23" t="n"/>
    </row>
    <row r="14">
      <c r="D14" s="8" t="n"/>
      <c r="E14" s="8" t="n"/>
      <c r="F14" s="8" t="n"/>
      <c r="G14" s="9" t="n"/>
      <c r="H14" s="8" t="n"/>
      <c r="I14" s="8" t="n"/>
      <c r="J14" s="8" t="n"/>
      <c r="K14" s="8" t="n"/>
      <c r="L14" s="8" t="n"/>
    </row>
    <row r="15">
      <c r="A15" s="33" t="inlineStr">
        <is>
          <t>EBITDA</t>
        </is>
      </c>
      <c r="B15" s="14" t="inlineStr">
        <is>
          <t>RMB mn</t>
        </is>
      </c>
      <c r="D15" s="37" t="n"/>
      <c r="E15" s="37" t="n"/>
      <c r="F15" s="37" t="n"/>
      <c r="G15" s="38" t="n"/>
      <c r="H15" s="37">
        <f>H9-H12+H13</f>
        <v/>
      </c>
      <c r="I15" s="37">
        <f>I9-I12+I13</f>
        <v/>
      </c>
      <c r="J15" s="37">
        <f>J9-J12+J13</f>
        <v/>
      </c>
      <c r="K15" s="37">
        <f>K9-K12+K13</f>
        <v/>
      </c>
      <c r="L15" s="37">
        <f>L9-L12+L13</f>
        <v/>
      </c>
    </row>
    <row r="16">
      <c r="A16" s="1" t="inlineStr">
        <is>
          <t xml:space="preserve">  EBITDA Margin</t>
        </is>
      </c>
      <c r="B16" s="14" t="inlineStr">
        <is>
          <t>%</t>
        </is>
      </c>
      <c r="D16" s="30" t="n"/>
      <c r="E16" s="30" t="n"/>
      <c r="F16" s="30" t="n"/>
      <c r="G16" s="31" t="n"/>
      <c r="H16" s="32">
        <f>IF(H5=0,"",H15/H5)</f>
        <v/>
      </c>
      <c r="I16" s="32">
        <f>IF(I5=0,"",I15/I5)</f>
        <v/>
      </c>
      <c r="J16" s="32">
        <f>IF(J5=0,"",J15/J5)</f>
        <v/>
      </c>
      <c r="K16" s="32">
        <f>IF(K5=0,"",K15/K5)</f>
        <v/>
      </c>
      <c r="L16" s="32">
        <f>IF(L5=0,"",L15/L5)</f>
        <v/>
      </c>
    </row>
    <row r="17">
      <c r="G17" s="18" t="n"/>
    </row>
    <row r="18">
      <c r="A18" s="1" t="inlineStr">
        <is>
          <t>Depreciation &amp; Amortization</t>
        </is>
      </c>
      <c r="B18" s="14" t="inlineStr">
        <is>
          <t>RMB mn</t>
        </is>
      </c>
      <c r="D18" s="24" t="n"/>
      <c r="E18" s="24" t="n"/>
      <c r="F18" s="24" t="n"/>
      <c r="G18" s="25" t="n"/>
      <c r="H18" s="39">
        <f>'COGS &amp; OpEx'!H29</f>
        <v/>
      </c>
      <c r="I18" s="39">
        <f>'COGS &amp; OpEx'!I29</f>
        <v/>
      </c>
      <c r="J18" s="39">
        <f>'COGS &amp; OpEx'!J29</f>
        <v/>
      </c>
      <c r="K18" s="39">
        <f>'COGS &amp; OpEx'!K29</f>
        <v/>
      </c>
      <c r="L18" s="39">
        <f>'COGS &amp; OpEx'!L29</f>
        <v/>
      </c>
    </row>
    <row r="19">
      <c r="G19" s="18" t="n"/>
    </row>
    <row r="20">
      <c r="A20" s="33" t="inlineStr">
        <is>
          <t>EBIT</t>
        </is>
      </c>
      <c r="B20" s="14" t="inlineStr">
        <is>
          <t>RMB mn</t>
        </is>
      </c>
      <c r="D20" s="34" t="n"/>
      <c r="E20" s="34" t="n"/>
      <c r="F20" s="34" t="n"/>
      <c r="G20" s="35" t="n"/>
      <c r="H20" s="34">
        <f>H15-H18</f>
        <v/>
      </c>
      <c r="I20" s="34">
        <f>I15-I18</f>
        <v/>
      </c>
      <c r="J20" s="34">
        <f>J15-J18</f>
        <v/>
      </c>
      <c r="K20" s="34">
        <f>K15-K18</f>
        <v/>
      </c>
      <c r="L20" s="34">
        <f>L15-L18</f>
        <v/>
      </c>
    </row>
    <row r="21">
      <c r="A21" s="1" t="inlineStr">
        <is>
          <t xml:space="preserve">  EBIT Margin</t>
        </is>
      </c>
      <c r="B21" s="14" t="inlineStr">
        <is>
          <t>%</t>
        </is>
      </c>
      <c r="D21" s="27" t="n"/>
      <c r="E21" s="27" t="n"/>
      <c r="F21" s="27" t="n"/>
      <c r="G21" s="28" t="n"/>
      <c r="H21" s="29">
        <f>IF(H5=0,"",H20/H5)</f>
        <v/>
      </c>
      <c r="I21" s="29">
        <f>IF(I5=0,"",I20/I5)</f>
        <v/>
      </c>
      <c r="J21" s="29">
        <f>IF(J5=0,"",J20/J5)</f>
        <v/>
      </c>
      <c r="K21" s="29">
        <f>IF(K5=0,"",K20/K5)</f>
        <v/>
      </c>
      <c r="L21" s="29">
        <f>IF(L5=0,"",L20/L5)</f>
        <v/>
      </c>
    </row>
    <row r="22">
      <c r="D22" s="8" t="n"/>
      <c r="E22" s="8" t="n"/>
      <c r="F22" s="8" t="n"/>
      <c r="G22" s="9" t="n"/>
      <c r="H22" s="8" t="n"/>
      <c r="I22" s="8" t="n"/>
      <c r="J22" s="8" t="n"/>
      <c r="K22" s="8" t="n"/>
      <c r="L22" s="8" t="n"/>
    </row>
    <row r="23">
      <c r="A23" s="1" t="inlineStr">
        <is>
          <t>Interest Expense</t>
        </is>
      </c>
      <c r="B23" s="14" t="inlineStr">
        <is>
          <t>RMB mn</t>
        </is>
      </c>
      <c r="D23" s="21" t="n"/>
      <c r="E23" s="21" t="n"/>
      <c r="F23" s="21" t="n"/>
      <c r="G23" s="22" t="n"/>
      <c r="H23" s="40">
        <f>'Debt &amp; CapEx'!H23</f>
        <v/>
      </c>
      <c r="I23" s="40">
        <f>'Debt &amp; CapEx'!I23</f>
        <v/>
      </c>
      <c r="J23" s="40">
        <f>'Debt &amp; CapEx'!J23</f>
        <v/>
      </c>
      <c r="K23" s="40">
        <f>'Debt &amp; CapEx'!K23</f>
        <v/>
      </c>
      <c r="L23" s="40">
        <f>'Debt &amp; CapEx'!L23</f>
        <v/>
      </c>
    </row>
    <row r="24">
      <c r="A24" s="1" t="inlineStr">
        <is>
          <t>Other Financial Items</t>
        </is>
      </c>
      <c r="B24" s="14" t="inlineStr">
        <is>
          <t>RMB mn</t>
        </is>
      </c>
      <c r="D24" s="24" t="n"/>
      <c r="E24" s="24" t="n"/>
      <c r="F24" s="24" t="n"/>
      <c r="G24" s="25" t="n"/>
      <c r="H24" s="26" t="n"/>
      <c r="I24" s="26" t="n"/>
      <c r="J24" s="26" t="n"/>
      <c r="K24" s="26" t="n"/>
      <c r="L24" s="26" t="n"/>
    </row>
    <row r="25">
      <c r="G25" s="18" t="n"/>
    </row>
    <row r="26">
      <c r="A26" s="33" t="inlineStr">
        <is>
          <t>Earnings Before Tax</t>
        </is>
      </c>
      <c r="B26" s="14" t="inlineStr">
        <is>
          <t>RMB mn</t>
        </is>
      </c>
      <c r="D26" s="34" t="n"/>
      <c r="E26" s="34" t="n"/>
      <c r="F26" s="34" t="n"/>
      <c r="G26" s="35" t="n"/>
      <c r="H26" s="34">
        <f>H20-H23+H24</f>
        <v/>
      </c>
      <c r="I26" s="34">
        <f>I20-I23+I24</f>
        <v/>
      </c>
      <c r="J26" s="34">
        <f>J20-J23+J24</f>
        <v/>
      </c>
      <c r="K26" s="34">
        <f>K20-K23+K24</f>
        <v/>
      </c>
      <c r="L26" s="34">
        <f>L20-L23+L24</f>
        <v/>
      </c>
    </row>
    <row r="27">
      <c r="A27" s="1" t="inlineStr">
        <is>
          <t>Income Tax</t>
        </is>
      </c>
      <c r="B27" s="14" t="inlineStr">
        <is>
          <t>RMB mn</t>
        </is>
      </c>
      <c r="D27" s="21" t="n"/>
      <c r="E27" s="21" t="n"/>
      <c r="F27" s="21" t="n"/>
      <c r="G27" s="22" t="n"/>
      <c r="H27" s="40">
        <f>IF(H26&gt;0,H26*'Key Assumptions'!H66,0)</f>
        <v/>
      </c>
      <c r="I27" s="40">
        <f>IF(I26&gt;0,I26*'Key Assumptions'!I66,0)</f>
        <v/>
      </c>
      <c r="J27" s="40">
        <f>IF(J26&gt;0,J26*'Key Assumptions'!J66,0)</f>
        <v/>
      </c>
      <c r="K27" s="40">
        <f>IF(K26&gt;0,K26*'Key Assumptions'!K66,0)</f>
        <v/>
      </c>
      <c r="L27" s="40">
        <f>IF(L26&gt;0,L26*'Key Assumptions'!L66,0)</f>
        <v/>
      </c>
    </row>
    <row r="28">
      <c r="A28" s="1" t="inlineStr">
        <is>
          <t xml:space="preserve">  Effective Tax Rate</t>
        </is>
      </c>
      <c r="B28" s="14" t="inlineStr">
        <is>
          <t>%</t>
        </is>
      </c>
      <c r="D28" s="30" t="n"/>
      <c r="E28" s="30" t="n"/>
      <c r="F28" s="30" t="n"/>
      <c r="G28" s="31" t="n"/>
      <c r="H28" s="32">
        <f>IF(H26=0,"",H27/H26)</f>
        <v/>
      </c>
      <c r="I28" s="32">
        <f>IF(I26=0,"",I27/I26)</f>
        <v/>
      </c>
      <c r="J28" s="32">
        <f>IF(J26=0,"",J27/J26)</f>
        <v/>
      </c>
      <c r="K28" s="32">
        <f>IF(K26=0,"",K27/K26)</f>
        <v/>
      </c>
      <c r="L28" s="32">
        <f>IF(L26=0,"",L27/L26)</f>
        <v/>
      </c>
    </row>
    <row r="29">
      <c r="G29" s="18" t="n"/>
    </row>
    <row r="30">
      <c r="A30" s="33" t="inlineStr">
        <is>
          <t>Net Income</t>
        </is>
      </c>
      <c r="B30" s="14" t="inlineStr">
        <is>
          <t>RMB mn</t>
        </is>
      </c>
      <c r="D30" s="34" t="n"/>
      <c r="E30" s="34" t="n"/>
      <c r="F30" s="34" t="n"/>
      <c r="G30" s="35" t="n"/>
      <c r="H30" s="34">
        <f>H26-H27</f>
        <v/>
      </c>
      <c r="I30" s="34">
        <f>I26-I27</f>
        <v/>
      </c>
      <c r="J30" s="34">
        <f>J26-J27</f>
        <v/>
      </c>
      <c r="K30" s="34">
        <f>K26-K27</f>
        <v/>
      </c>
      <c r="L30" s="34">
        <f>L26-L27</f>
        <v/>
      </c>
    </row>
    <row r="31">
      <c r="A31" s="1" t="inlineStr">
        <is>
          <t xml:space="preserve">  Net Margin</t>
        </is>
      </c>
      <c r="B31" s="14" t="inlineStr">
        <is>
          <t>%</t>
        </is>
      </c>
      <c r="D31" s="27" t="n"/>
      <c r="E31" s="27" t="n"/>
      <c r="F31" s="27" t="n"/>
      <c r="G31" s="28" t="n"/>
      <c r="H31" s="29">
        <f>IF(H5=0,"",H30/H5)</f>
        <v/>
      </c>
      <c r="I31" s="29">
        <f>IF(I5=0,"",I30/I5)</f>
        <v/>
      </c>
      <c r="J31" s="29">
        <f>IF(J5=0,"",J30/J5)</f>
        <v/>
      </c>
      <c r="K31" s="29">
        <f>IF(K5=0,"",K30/K5)</f>
        <v/>
      </c>
      <c r="L31" s="29">
        <f>IF(L5=0,"",L30/L5)</f>
        <v/>
      </c>
    </row>
    <row r="32">
      <c r="D32" s="8" t="n"/>
      <c r="E32" s="8" t="n"/>
      <c r="F32" s="8" t="n"/>
      <c r="G32" s="9" t="n"/>
      <c r="H32" s="8" t="n"/>
      <c r="I32" s="8" t="n"/>
      <c r="J32" s="8" t="n"/>
      <c r="K32" s="8" t="n"/>
      <c r="L32" s="8" t="n"/>
    </row>
    <row r="33">
      <c r="A33" s="1" t="inlineStr">
        <is>
          <t>Shares Outstanding</t>
        </is>
      </c>
      <c r="B33" s="14" t="inlineStr">
        <is>
          <t>mn</t>
        </is>
      </c>
      <c r="D33" s="21" t="n"/>
      <c r="E33" s="21" t="n"/>
      <c r="F33" s="21" t="n"/>
      <c r="G33" s="22" t="n"/>
      <c r="H33" s="23" t="n"/>
      <c r="I33" s="23" t="n"/>
      <c r="J33" s="23" t="n"/>
      <c r="K33" s="23" t="n"/>
      <c r="L33" s="23" t="n"/>
    </row>
    <row r="34">
      <c r="A34" s="1" t="inlineStr">
        <is>
          <t>Earnings Per Share</t>
        </is>
      </c>
      <c r="B34" s="14" t="inlineStr">
        <is>
          <t>RMB</t>
        </is>
      </c>
      <c r="D34" s="24" t="n"/>
      <c r="E34" s="24" t="n"/>
      <c r="F34" s="24" t="n"/>
      <c r="G34" s="25" t="n"/>
      <c r="H34" s="26" t="n"/>
      <c r="I34" s="26" t="n"/>
      <c r="J34" s="26" t="n"/>
      <c r="K34" s="26" t="n"/>
      <c r="L34" s="26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Balance Sheet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3">
      <c r="D3" s="6" t="n">
        <v>2021</v>
      </c>
      <c r="E3" s="6" t="n">
        <v>2022</v>
      </c>
      <c r="F3" s="6" t="n">
        <v>2023</v>
      </c>
      <c r="G3" s="7" t="n">
        <v>2024</v>
      </c>
      <c r="H3" s="6" t="inlineStr">
        <is>
          <t>2025E</t>
        </is>
      </c>
      <c r="I3" s="6" t="inlineStr">
        <is>
          <t>2026E</t>
        </is>
      </c>
      <c r="J3" s="6" t="inlineStr">
        <is>
          <t>2027E</t>
        </is>
      </c>
      <c r="K3" s="6" t="inlineStr">
        <is>
          <t>2028E</t>
        </is>
      </c>
      <c r="L3" s="6" t="inlineStr">
        <is>
          <t>2029E</t>
        </is>
      </c>
    </row>
    <row r="4">
      <c r="D4" s="8" t="n"/>
      <c r="E4" s="8" t="n"/>
      <c r="F4" s="8" t="n"/>
      <c r="G4" s="9" t="n"/>
      <c r="H4" s="8" t="n"/>
      <c r="I4" s="8" t="n"/>
      <c r="J4" s="8" t="n"/>
      <c r="K4" s="8" t="n"/>
      <c r="L4" s="8" t="n"/>
    </row>
    <row r="5">
      <c r="A5" s="19" t="inlineStr">
        <is>
          <t>CURRENT ASSETS</t>
        </is>
      </c>
      <c r="B5" s="20" t="n"/>
      <c r="C5" s="20" t="n"/>
      <c r="D5" s="20" t="n"/>
      <c r="E5" s="20" t="n"/>
      <c r="F5" s="20" t="n"/>
      <c r="G5" s="36" t="n"/>
      <c r="H5" s="20" t="n"/>
      <c r="I5" s="20" t="n"/>
      <c r="J5" s="20" t="n"/>
      <c r="K5" s="20" t="n"/>
      <c r="L5" s="20" t="n"/>
    </row>
    <row r="6">
      <c r="A6" s="1" t="inlineStr">
        <is>
          <t>Cash &amp; Equivalents</t>
        </is>
      </c>
      <c r="B6" s="14" t="inlineStr">
        <is>
          <t>RMB mn</t>
        </is>
      </c>
      <c r="D6" s="24" t="n"/>
      <c r="E6" s="24" t="n"/>
      <c r="F6" s="24" t="n"/>
      <c r="G6" s="25" t="n"/>
      <c r="H6" s="39">
        <f>'Cash Flow Statement'!H32</f>
        <v/>
      </c>
      <c r="I6" s="39">
        <f>'Cash Flow Statement'!I32</f>
        <v/>
      </c>
      <c r="J6" s="39">
        <f>'Cash Flow Statement'!J32</f>
        <v/>
      </c>
      <c r="K6" s="39">
        <f>'Cash Flow Statement'!K32</f>
        <v/>
      </c>
      <c r="L6" s="39">
        <f>'Cash Flow Statement'!L32</f>
        <v/>
      </c>
    </row>
    <row r="7">
      <c r="A7" s="1" t="inlineStr">
        <is>
          <t>Accounts Receivable</t>
        </is>
      </c>
      <c r="B7" s="14" t="inlineStr">
        <is>
          <t>RMB mn</t>
        </is>
      </c>
      <c r="D7" s="21" t="n"/>
      <c r="E7" s="21" t="n"/>
      <c r="F7" s="21" t="n"/>
      <c r="G7" s="22" t="n"/>
      <c r="H7" s="40">
        <f>'Working Capital'!H11</f>
        <v/>
      </c>
      <c r="I7" s="40">
        <f>'Working Capital'!I11</f>
        <v/>
      </c>
      <c r="J7" s="40">
        <f>'Working Capital'!J11</f>
        <v/>
      </c>
      <c r="K7" s="40">
        <f>'Working Capital'!K11</f>
        <v/>
      </c>
      <c r="L7" s="40">
        <f>'Working Capital'!L11</f>
        <v/>
      </c>
    </row>
    <row r="8">
      <c r="A8" s="1" t="inlineStr">
        <is>
          <t>Inventory</t>
        </is>
      </c>
      <c r="B8" s="14" t="inlineStr">
        <is>
          <t>RMB mn</t>
        </is>
      </c>
      <c r="D8" s="24" t="n"/>
      <c r="E8" s="24" t="n"/>
      <c r="F8" s="24" t="n"/>
      <c r="G8" s="25" t="n"/>
      <c r="H8" s="39">
        <f>'Working Capital'!H12</f>
        <v/>
      </c>
      <c r="I8" s="39">
        <f>'Working Capital'!I12</f>
        <v/>
      </c>
      <c r="J8" s="39">
        <f>'Working Capital'!J12</f>
        <v/>
      </c>
      <c r="K8" s="39">
        <f>'Working Capital'!K12</f>
        <v/>
      </c>
      <c r="L8" s="39">
        <f>'Working Capital'!L12</f>
        <v/>
      </c>
    </row>
    <row r="9">
      <c r="A9" s="1" t="inlineStr">
        <is>
          <t>Other Current Assets</t>
        </is>
      </c>
      <c r="B9" s="14" t="inlineStr">
        <is>
          <t>RMB mn</t>
        </is>
      </c>
      <c r="D9" s="21" t="n"/>
      <c r="E9" s="21" t="n"/>
      <c r="F9" s="21" t="n"/>
      <c r="G9" s="22" t="n"/>
      <c r="H9" s="23" t="n"/>
      <c r="I9" s="23" t="n"/>
      <c r="J9" s="23" t="n"/>
      <c r="K9" s="23" t="n"/>
      <c r="L9" s="23" t="n"/>
    </row>
    <row r="10">
      <c r="D10" s="8" t="n"/>
      <c r="E10" s="8" t="n"/>
      <c r="F10" s="8" t="n"/>
      <c r="G10" s="9" t="n"/>
      <c r="H10" s="8" t="n"/>
      <c r="I10" s="8" t="n"/>
      <c r="J10" s="8" t="n"/>
      <c r="K10" s="8" t="n"/>
      <c r="L10" s="8" t="n"/>
    </row>
    <row r="11">
      <c r="A11" s="33" t="inlineStr">
        <is>
          <t>Total Current Assets</t>
        </is>
      </c>
      <c r="B11" s="14" t="inlineStr">
        <is>
          <t>RMB mn</t>
        </is>
      </c>
      <c r="D11" s="37" t="n"/>
      <c r="E11" s="37" t="n"/>
      <c r="F11" s="37" t="n"/>
      <c r="G11" s="38" t="n"/>
      <c r="H11" s="37">
        <f>H6+H7+H8+H9</f>
        <v/>
      </c>
      <c r="I11" s="37">
        <f>I6+I7+I8+I9</f>
        <v/>
      </c>
      <c r="J11" s="37">
        <f>J6+J7+J8+J9</f>
        <v/>
      </c>
      <c r="K11" s="37">
        <f>K6+K7+K8+K9</f>
        <v/>
      </c>
      <c r="L11" s="37">
        <f>L6+L7+L8+L9</f>
        <v/>
      </c>
    </row>
    <row r="12">
      <c r="D12" s="8" t="n"/>
      <c r="E12" s="8" t="n"/>
      <c r="F12" s="8" t="n"/>
      <c r="G12" s="9" t="n"/>
      <c r="H12" s="8" t="n"/>
      <c r="I12" s="8" t="n"/>
      <c r="J12" s="8" t="n"/>
      <c r="K12" s="8" t="n"/>
      <c r="L12" s="8" t="n"/>
    </row>
    <row r="13">
      <c r="A13" s="19" t="inlineStr">
        <is>
          <t>NON-CURRENT ASSETS</t>
        </is>
      </c>
      <c r="B13" s="20" t="n"/>
      <c r="C13" s="20" t="n"/>
      <c r="D13" s="20" t="n"/>
      <c r="E13" s="20" t="n"/>
      <c r="F13" s="20" t="n"/>
      <c r="G13" s="36" t="n"/>
      <c r="H13" s="20" t="n"/>
      <c r="I13" s="20" t="n"/>
      <c r="J13" s="20" t="n"/>
      <c r="K13" s="20" t="n"/>
      <c r="L13" s="20" t="n"/>
    </row>
    <row r="14">
      <c r="A14" s="1" t="inlineStr">
        <is>
          <t>PP&amp;E, Net</t>
        </is>
      </c>
      <c r="B14" s="14" t="inlineStr">
        <is>
          <t>RMB mn</t>
        </is>
      </c>
      <c r="D14" s="24" t="n"/>
      <c r="E14" s="24" t="n"/>
      <c r="F14" s="24" t="n"/>
      <c r="G14" s="25" t="n"/>
      <c r="H14" s="39">
        <f>'Debt &amp; CapEx'!H36</f>
        <v/>
      </c>
      <c r="I14" s="39">
        <f>'Debt &amp; CapEx'!I36</f>
        <v/>
      </c>
      <c r="J14" s="39">
        <f>'Debt &amp; CapEx'!J36</f>
        <v/>
      </c>
      <c r="K14" s="39">
        <f>'Debt &amp; CapEx'!K36</f>
        <v/>
      </c>
      <c r="L14" s="39">
        <f>'Debt &amp; CapEx'!L36</f>
        <v/>
      </c>
    </row>
    <row r="15">
      <c r="A15" s="1" t="inlineStr">
        <is>
          <t>Intangibles &amp; Goodwill</t>
        </is>
      </c>
      <c r="B15" s="14" t="inlineStr">
        <is>
          <t>RMB mn</t>
        </is>
      </c>
      <c r="D15" s="21" t="n"/>
      <c r="E15" s="21" t="n"/>
      <c r="F15" s="21" t="n"/>
      <c r="G15" s="22" t="n"/>
      <c r="H15" s="23" t="n"/>
      <c r="I15" s="23" t="n"/>
      <c r="J15" s="23" t="n"/>
      <c r="K15" s="23" t="n"/>
      <c r="L15" s="23" t="n"/>
    </row>
    <row r="16">
      <c r="A16" s="1" t="inlineStr">
        <is>
          <t>Other Non-Current Assets</t>
        </is>
      </c>
      <c r="B16" s="14" t="inlineStr">
        <is>
          <t>RMB mn</t>
        </is>
      </c>
      <c r="D16" s="24" t="n"/>
      <c r="E16" s="24" t="n"/>
      <c r="F16" s="24" t="n"/>
      <c r="G16" s="25" t="n"/>
      <c r="H16" s="26" t="n"/>
      <c r="I16" s="26" t="n"/>
      <c r="J16" s="26" t="n"/>
      <c r="K16" s="26" t="n"/>
      <c r="L16" s="26" t="n"/>
    </row>
    <row r="17">
      <c r="G17" s="18" t="n"/>
    </row>
    <row r="18">
      <c r="A18" s="33" t="inlineStr">
        <is>
          <t>Total Non-Current Assets</t>
        </is>
      </c>
      <c r="B18" s="14" t="inlineStr">
        <is>
          <t>RMB mn</t>
        </is>
      </c>
      <c r="D18" s="34" t="n"/>
      <c r="E18" s="34" t="n"/>
      <c r="F18" s="34" t="n"/>
      <c r="G18" s="35" t="n"/>
      <c r="H18" s="34">
        <f>H14+H15+H16</f>
        <v/>
      </c>
      <c r="I18" s="34">
        <f>I14+I15+I16</f>
        <v/>
      </c>
      <c r="J18" s="34">
        <f>J14+J15+J16</f>
        <v/>
      </c>
      <c r="K18" s="34">
        <f>K14+K15+K16</f>
        <v/>
      </c>
      <c r="L18" s="34">
        <f>L14+L15+L16</f>
        <v/>
      </c>
    </row>
    <row r="19">
      <c r="G19" s="18" t="n"/>
    </row>
    <row r="20">
      <c r="A20" s="33" t="inlineStr">
        <is>
          <t>TOTAL ASSETS</t>
        </is>
      </c>
      <c r="B20" s="14" t="inlineStr">
        <is>
          <t>RMB mn</t>
        </is>
      </c>
      <c r="D20" s="34" t="n"/>
      <c r="E20" s="34" t="n"/>
      <c r="F20" s="34" t="n"/>
      <c r="G20" s="35" t="n"/>
      <c r="H20" s="34">
        <f>H11+H18</f>
        <v/>
      </c>
      <c r="I20" s="34">
        <f>I11+I18</f>
        <v/>
      </c>
      <c r="J20" s="34">
        <f>J11+J18</f>
        <v/>
      </c>
      <c r="K20" s="34">
        <f>K11+K18</f>
        <v/>
      </c>
      <c r="L20" s="34">
        <f>L11+L18</f>
        <v/>
      </c>
    </row>
    <row r="21">
      <c r="G21" s="18" t="n"/>
    </row>
    <row r="22">
      <c r="A22" s="19" t="inlineStr">
        <is>
          <t>CURRENT LIABILITIES</t>
        </is>
      </c>
      <c r="B22" s="20" t="n"/>
      <c r="C22" s="20" t="n"/>
      <c r="D22" s="8" t="n"/>
      <c r="E22" s="8" t="n"/>
      <c r="F22" s="8" t="n"/>
      <c r="G22" s="9" t="n"/>
      <c r="H22" s="8" t="n"/>
      <c r="I22" s="8" t="n"/>
      <c r="J22" s="8" t="n"/>
      <c r="K22" s="8" t="n"/>
      <c r="L22" s="8" t="n"/>
    </row>
    <row r="23">
      <c r="A23" s="1" t="inlineStr">
        <is>
          <t>Accounts Payable</t>
        </is>
      </c>
      <c r="B23" s="14" t="inlineStr">
        <is>
          <t>RMB mn</t>
        </is>
      </c>
      <c r="D23" s="21" t="n"/>
      <c r="E23" s="21" t="n"/>
      <c r="F23" s="21" t="n"/>
      <c r="G23" s="22" t="n"/>
      <c r="H23" s="40">
        <f>'Working Capital'!H13</f>
        <v/>
      </c>
      <c r="I23" s="40">
        <f>'Working Capital'!I13</f>
        <v/>
      </c>
      <c r="J23" s="40">
        <f>'Working Capital'!J13</f>
        <v/>
      </c>
      <c r="K23" s="40">
        <f>'Working Capital'!K13</f>
        <v/>
      </c>
      <c r="L23" s="40">
        <f>'Working Capital'!L13</f>
        <v/>
      </c>
    </row>
    <row r="24">
      <c r="A24" s="1" t="inlineStr">
        <is>
          <t>Short-term Debt</t>
        </is>
      </c>
      <c r="B24" s="14" t="inlineStr">
        <is>
          <t>RMB mn</t>
        </is>
      </c>
      <c r="D24" s="24" t="n"/>
      <c r="E24" s="24" t="n"/>
      <c r="F24" s="24" t="n"/>
      <c r="G24" s="25" t="n"/>
      <c r="H24" s="26" t="n"/>
      <c r="I24" s="26" t="n"/>
      <c r="J24" s="26" t="n"/>
      <c r="K24" s="26" t="n"/>
      <c r="L24" s="26" t="n"/>
    </row>
    <row r="25">
      <c r="A25" s="1" t="inlineStr">
        <is>
          <t>Other Current Liabilities</t>
        </is>
      </c>
      <c r="B25" s="14" t="inlineStr">
        <is>
          <t>RMB mn</t>
        </is>
      </c>
      <c r="D25" s="21" t="n"/>
      <c r="E25" s="21" t="n"/>
      <c r="F25" s="21" t="n"/>
      <c r="G25" s="22" t="n"/>
      <c r="H25" s="23" t="n"/>
      <c r="I25" s="23" t="n"/>
      <c r="J25" s="23" t="n"/>
      <c r="K25" s="23" t="n"/>
      <c r="L25" s="23" t="n"/>
    </row>
    <row r="26">
      <c r="D26" s="8" t="n"/>
      <c r="E26" s="8" t="n"/>
      <c r="F26" s="8" t="n"/>
      <c r="G26" s="9" t="n"/>
      <c r="H26" s="8" t="n"/>
      <c r="I26" s="8" t="n"/>
      <c r="J26" s="8" t="n"/>
      <c r="K26" s="8" t="n"/>
      <c r="L26" s="8" t="n"/>
    </row>
    <row r="27">
      <c r="A27" s="33" t="inlineStr">
        <is>
          <t>Total Current Liabilities</t>
        </is>
      </c>
      <c r="B27" s="14" t="inlineStr">
        <is>
          <t>RMB mn</t>
        </is>
      </c>
      <c r="D27" s="37" t="n"/>
      <c r="E27" s="37" t="n"/>
      <c r="F27" s="37" t="n"/>
      <c r="G27" s="38" t="n"/>
      <c r="H27" s="37">
        <f>H23+H24+H25</f>
        <v/>
      </c>
      <c r="I27" s="37">
        <f>I23+I24+I25</f>
        <v/>
      </c>
      <c r="J27" s="37">
        <f>J23+J24+J25</f>
        <v/>
      </c>
      <c r="K27" s="37">
        <f>K23+K24+K25</f>
        <v/>
      </c>
      <c r="L27" s="37">
        <f>L23+L24+L25</f>
        <v/>
      </c>
    </row>
    <row r="28">
      <c r="D28" s="8" t="n"/>
      <c r="E28" s="8" t="n"/>
      <c r="F28" s="8" t="n"/>
      <c r="G28" s="9" t="n"/>
      <c r="H28" s="8" t="n"/>
      <c r="I28" s="8" t="n"/>
      <c r="J28" s="8" t="n"/>
      <c r="K28" s="8" t="n"/>
      <c r="L28" s="8" t="n"/>
    </row>
    <row r="29">
      <c r="A29" s="19" t="inlineStr">
        <is>
          <t>NON-CURRENT LIABILITIES</t>
        </is>
      </c>
      <c r="B29" s="20" t="n"/>
      <c r="C29" s="20" t="n"/>
      <c r="D29" s="20" t="n"/>
      <c r="E29" s="20" t="n"/>
      <c r="F29" s="20" t="n"/>
      <c r="G29" s="36" t="n"/>
      <c r="H29" s="20" t="n"/>
      <c r="I29" s="20" t="n"/>
      <c r="J29" s="20" t="n"/>
      <c r="K29" s="20" t="n"/>
      <c r="L29" s="20" t="n"/>
    </row>
    <row r="30">
      <c r="A30" s="1" t="inlineStr">
        <is>
          <t>Long-term Debt</t>
        </is>
      </c>
      <c r="B30" s="14" t="inlineStr">
        <is>
          <t>RMB mn</t>
        </is>
      </c>
      <c r="D30" s="24" t="n"/>
      <c r="E30" s="24" t="n"/>
      <c r="F30" s="24" t="n"/>
      <c r="G30" s="25" t="n"/>
      <c r="H30" s="39">
        <f>'Debt &amp; CapEx'!H22</f>
        <v/>
      </c>
      <c r="I30" s="39">
        <f>'Debt &amp; CapEx'!I22</f>
        <v/>
      </c>
      <c r="J30" s="39">
        <f>'Debt &amp; CapEx'!J22</f>
        <v/>
      </c>
      <c r="K30" s="39">
        <f>'Debt &amp; CapEx'!K22</f>
        <v/>
      </c>
      <c r="L30" s="39">
        <f>'Debt &amp; CapEx'!L22</f>
        <v/>
      </c>
    </row>
    <row r="31">
      <c r="A31" s="1" t="inlineStr">
        <is>
          <t>Other Non-Current Liabilities</t>
        </is>
      </c>
      <c r="B31" s="14" t="inlineStr">
        <is>
          <t>RMB mn</t>
        </is>
      </c>
      <c r="D31" s="21" t="n"/>
      <c r="E31" s="21" t="n"/>
      <c r="F31" s="21" t="n"/>
      <c r="G31" s="22" t="n"/>
      <c r="H31" s="23" t="n"/>
      <c r="I31" s="23" t="n"/>
      <c r="J31" s="23" t="n"/>
      <c r="K31" s="23" t="n"/>
      <c r="L31" s="23" t="n"/>
    </row>
    <row r="32">
      <c r="D32" s="8" t="n"/>
      <c r="E32" s="8" t="n"/>
      <c r="F32" s="8" t="n"/>
      <c r="G32" s="9" t="n"/>
      <c r="H32" s="8" t="n"/>
      <c r="I32" s="8" t="n"/>
      <c r="J32" s="8" t="n"/>
      <c r="K32" s="8" t="n"/>
      <c r="L32" s="8" t="n"/>
    </row>
    <row r="33">
      <c r="A33" s="33" t="inlineStr">
        <is>
          <t>Total Non-Current Liabilities</t>
        </is>
      </c>
      <c r="B33" s="14" t="inlineStr">
        <is>
          <t>RMB mn</t>
        </is>
      </c>
      <c r="D33" s="37" t="n"/>
      <c r="E33" s="37" t="n"/>
      <c r="F33" s="37" t="n"/>
      <c r="G33" s="38" t="n"/>
      <c r="H33" s="37">
        <f>H30+H31</f>
        <v/>
      </c>
      <c r="I33" s="37">
        <f>I30+I31</f>
        <v/>
      </c>
      <c r="J33" s="37">
        <f>J30+J31</f>
        <v/>
      </c>
      <c r="K33" s="37">
        <f>K30+K31</f>
        <v/>
      </c>
      <c r="L33" s="37">
        <f>L30+L31</f>
        <v/>
      </c>
    </row>
    <row r="34">
      <c r="D34" s="8" t="n"/>
      <c r="E34" s="8" t="n"/>
      <c r="F34" s="8" t="n"/>
      <c r="G34" s="9" t="n"/>
      <c r="H34" s="8" t="n"/>
      <c r="I34" s="8" t="n"/>
      <c r="J34" s="8" t="n"/>
      <c r="K34" s="8" t="n"/>
      <c r="L34" s="8" t="n"/>
    </row>
    <row r="35">
      <c r="A35" s="33" t="inlineStr">
        <is>
          <t>Total Liabilities</t>
        </is>
      </c>
      <c r="B35" s="14" t="inlineStr">
        <is>
          <t>RMB mn</t>
        </is>
      </c>
      <c r="D35" s="37" t="n"/>
      <c r="E35" s="37" t="n"/>
      <c r="F35" s="37" t="n"/>
      <c r="G35" s="38" t="n"/>
      <c r="H35" s="37">
        <f>H27+H33</f>
        <v/>
      </c>
      <c r="I35" s="37">
        <f>I27+I33</f>
        <v/>
      </c>
      <c r="J35" s="37">
        <f>J27+J33</f>
        <v/>
      </c>
      <c r="K35" s="37">
        <f>K27+K33</f>
        <v/>
      </c>
      <c r="L35" s="37">
        <f>L27+L33</f>
        <v/>
      </c>
    </row>
    <row r="36">
      <c r="D36" s="8" t="n"/>
      <c r="E36" s="8" t="n"/>
      <c r="F36" s="8" t="n"/>
      <c r="G36" s="9" t="n"/>
      <c r="H36" s="8" t="n"/>
      <c r="I36" s="8" t="n"/>
      <c r="J36" s="8" t="n"/>
      <c r="K36" s="8" t="n"/>
      <c r="L36" s="8" t="n"/>
    </row>
    <row r="37">
      <c r="A37" s="19" t="inlineStr">
        <is>
          <t>EQUITY</t>
        </is>
      </c>
      <c r="B37" s="20" t="n"/>
      <c r="C37" s="20" t="n"/>
      <c r="D37" s="20" t="n"/>
      <c r="E37" s="20" t="n"/>
      <c r="F37" s="20" t="n"/>
      <c r="G37" s="36" t="n"/>
      <c r="H37" s="20" t="n"/>
      <c r="I37" s="20" t="n"/>
      <c r="J37" s="20" t="n"/>
      <c r="K37" s="20" t="n"/>
      <c r="L37" s="20" t="n"/>
    </row>
    <row r="38">
      <c r="A38" s="1" t="inlineStr">
        <is>
          <t>Paid-in Capital</t>
        </is>
      </c>
      <c r="B38" s="14" t="inlineStr">
        <is>
          <t>RMB mn</t>
        </is>
      </c>
      <c r="D38" s="24" t="n"/>
      <c r="E38" s="24" t="n"/>
      <c r="F38" s="24" t="n"/>
      <c r="G38" s="25" t="n"/>
      <c r="H38" s="26" t="n"/>
      <c r="I38" s="26" t="n"/>
      <c r="J38" s="26" t="n"/>
      <c r="K38" s="26" t="n"/>
      <c r="L38" s="26" t="n"/>
    </row>
    <row r="39">
      <c r="A39" s="1" t="inlineStr">
        <is>
          <t>Retained Earnings</t>
        </is>
      </c>
      <c r="B39" s="14" t="inlineStr">
        <is>
          <t>RMB mn</t>
        </is>
      </c>
      <c r="D39" s="21" t="n"/>
      <c r="E39" s="21" t="n"/>
      <c r="F39" s="21" t="n"/>
      <c r="G39" s="22" t="n"/>
      <c r="H39" s="40">
        <f>G39+'Income Statement'!H30-'Income Statement'!H30*'Key Assumptions'!H67</f>
        <v/>
      </c>
      <c r="I39" s="40">
        <f>H39+'Income Statement'!I30-'Income Statement'!I30*'Key Assumptions'!I67</f>
        <v/>
      </c>
      <c r="J39" s="40">
        <f>I39+'Income Statement'!J30-'Income Statement'!J30*'Key Assumptions'!J67</f>
        <v/>
      </c>
      <c r="K39" s="40">
        <f>J39+'Income Statement'!K30-'Income Statement'!K30*'Key Assumptions'!K67</f>
        <v/>
      </c>
      <c r="L39" s="40">
        <f>K39+'Income Statement'!L30-'Income Statement'!L30*'Key Assumptions'!L67</f>
        <v/>
      </c>
    </row>
    <row r="40">
      <c r="D40" s="8" t="n"/>
      <c r="E40" s="8" t="n"/>
      <c r="F40" s="8" t="n"/>
      <c r="G40" s="9" t="n"/>
      <c r="H40" s="8" t="n"/>
      <c r="I40" s="8" t="n"/>
      <c r="J40" s="8" t="n"/>
      <c r="K40" s="8" t="n"/>
      <c r="L40" s="8" t="n"/>
    </row>
    <row r="41">
      <c r="A41" s="33" t="inlineStr">
        <is>
          <t>Total Equity</t>
        </is>
      </c>
      <c r="B41" s="14" t="inlineStr">
        <is>
          <t>RMB mn</t>
        </is>
      </c>
      <c r="D41" s="37" t="n"/>
      <c r="E41" s="37" t="n"/>
      <c r="F41" s="37" t="n"/>
      <c r="G41" s="38" t="n"/>
      <c r="H41" s="37">
        <f>H38+H39</f>
        <v/>
      </c>
      <c r="I41" s="37">
        <f>I38+I39</f>
        <v/>
      </c>
      <c r="J41" s="37">
        <f>J38+J39</f>
        <v/>
      </c>
      <c r="K41" s="37">
        <f>K38+K39</f>
        <v/>
      </c>
      <c r="L41" s="37">
        <f>L38+L39</f>
        <v/>
      </c>
    </row>
    <row r="42">
      <c r="D42" s="8" t="n"/>
      <c r="E42" s="8" t="n"/>
      <c r="F42" s="8" t="n"/>
      <c r="G42" s="9" t="n"/>
      <c r="H42" s="8" t="n"/>
      <c r="I42" s="8" t="n"/>
      <c r="J42" s="8" t="n"/>
      <c r="K42" s="8" t="n"/>
      <c r="L42" s="8" t="n"/>
    </row>
    <row r="43">
      <c r="A43" s="33" t="inlineStr">
        <is>
          <t>TOTAL LIABILITIES + EQUITY</t>
        </is>
      </c>
      <c r="B43" s="14" t="inlineStr">
        <is>
          <t>RMB mn</t>
        </is>
      </c>
      <c r="D43" s="37" t="n"/>
      <c r="E43" s="37" t="n"/>
      <c r="F43" s="37" t="n"/>
      <c r="G43" s="38" t="n"/>
      <c r="H43" s="37">
        <f>H35+H41</f>
        <v/>
      </c>
      <c r="I43" s="37">
        <f>I35+I41</f>
        <v/>
      </c>
      <c r="J43" s="37">
        <f>J35+J41</f>
        <v/>
      </c>
      <c r="K43" s="37">
        <f>K35+K41</f>
        <v/>
      </c>
      <c r="L43" s="37">
        <f>L35+L41</f>
        <v/>
      </c>
    </row>
    <row r="44">
      <c r="D44" s="8" t="n"/>
      <c r="E44" s="8" t="n"/>
      <c r="F44" s="8" t="n"/>
      <c r="G44" s="9" t="n"/>
      <c r="H44" s="8" t="n"/>
      <c r="I44" s="8" t="n"/>
      <c r="J44" s="8" t="n"/>
      <c r="K44" s="8" t="n"/>
      <c r="L44" s="8" t="n"/>
    </row>
    <row r="45">
      <c r="A45" s="33" t="inlineStr">
        <is>
          <t>Balance Check (must = 0)</t>
        </is>
      </c>
      <c r="B45" s="14" t="inlineStr">
        <is>
          <t>RMB mn</t>
        </is>
      </c>
      <c r="D45" s="41" t="n"/>
      <c r="E45" s="41" t="n"/>
      <c r="F45" s="41" t="n"/>
      <c r="G45" s="42" t="n"/>
      <c r="H45" s="41">
        <f>ROUND(H20-H43,2)</f>
        <v/>
      </c>
      <c r="I45" s="41">
        <f>ROUND(I20-I43,2)</f>
        <v/>
      </c>
      <c r="J45" s="41">
        <f>ROUND(J20-J43,2)</f>
        <v/>
      </c>
      <c r="K45" s="41">
        <f>ROUND(K20-K43,2)</f>
        <v/>
      </c>
      <c r="L45" s="41">
        <f>ROUND(L20-L43,2)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Cash Flow Statement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3">
      <c r="D3" s="6" t="n">
        <v>2021</v>
      </c>
      <c r="E3" s="6" t="n">
        <v>2022</v>
      </c>
      <c r="F3" s="6" t="n">
        <v>2023</v>
      </c>
      <c r="G3" s="7" t="n">
        <v>2024</v>
      </c>
      <c r="H3" s="6" t="inlineStr">
        <is>
          <t>2025E</t>
        </is>
      </c>
      <c r="I3" s="6" t="inlineStr">
        <is>
          <t>2026E</t>
        </is>
      </c>
      <c r="J3" s="6" t="inlineStr">
        <is>
          <t>2027E</t>
        </is>
      </c>
      <c r="K3" s="6" t="inlineStr">
        <is>
          <t>2028E</t>
        </is>
      </c>
      <c r="L3" s="6" t="inlineStr">
        <is>
          <t>2029E</t>
        </is>
      </c>
    </row>
    <row r="4">
      <c r="D4" s="8" t="n"/>
      <c r="E4" s="8" t="n"/>
      <c r="F4" s="8" t="n"/>
      <c r="G4" s="9" t="n"/>
      <c r="H4" s="8" t="n"/>
      <c r="I4" s="8" t="n"/>
      <c r="J4" s="8" t="n"/>
      <c r="K4" s="8" t="n"/>
      <c r="L4" s="8" t="n"/>
    </row>
    <row r="5">
      <c r="A5" s="19" t="inlineStr">
        <is>
          <t>OPERATING ACTIVITIES</t>
        </is>
      </c>
      <c r="B5" s="20" t="n"/>
      <c r="C5" s="20" t="n"/>
      <c r="D5" s="20" t="n"/>
      <c r="E5" s="20" t="n"/>
      <c r="F5" s="20" t="n"/>
      <c r="G5" s="36" t="n"/>
      <c r="H5" s="20" t="n"/>
      <c r="I5" s="20" t="n"/>
      <c r="J5" s="20" t="n"/>
      <c r="K5" s="20" t="n"/>
      <c r="L5" s="20" t="n"/>
    </row>
    <row r="6">
      <c r="A6" s="1" t="inlineStr">
        <is>
          <t>Net Income</t>
        </is>
      </c>
      <c r="B6" s="14" t="inlineStr">
        <is>
          <t>RMB mn</t>
        </is>
      </c>
      <c r="D6" s="24" t="n"/>
      <c r="E6" s="24" t="n"/>
      <c r="F6" s="24" t="n"/>
      <c r="G6" s="25" t="n"/>
      <c r="H6" s="39">
        <f>'Income Statement'!H30</f>
        <v/>
      </c>
      <c r="I6" s="39">
        <f>'Income Statement'!I30</f>
        <v/>
      </c>
      <c r="J6" s="39">
        <f>'Income Statement'!J30</f>
        <v/>
      </c>
      <c r="K6" s="39">
        <f>'Income Statement'!K30</f>
        <v/>
      </c>
      <c r="L6" s="39">
        <f>'Income Statement'!L30</f>
        <v/>
      </c>
    </row>
    <row r="7">
      <c r="A7" s="1" t="inlineStr">
        <is>
          <t>Depreciation &amp; Amortization</t>
        </is>
      </c>
      <c r="B7" s="14" t="inlineStr">
        <is>
          <t>RMB mn</t>
        </is>
      </c>
      <c r="D7" s="21" t="n"/>
      <c r="E7" s="21" t="n"/>
      <c r="F7" s="21" t="n"/>
      <c r="G7" s="22" t="n"/>
      <c r="H7" s="40">
        <f>'COGS &amp; OpEx'!H29</f>
        <v/>
      </c>
      <c r="I7" s="40">
        <f>'COGS &amp; OpEx'!I29</f>
        <v/>
      </c>
      <c r="J7" s="40">
        <f>'COGS &amp; OpEx'!J29</f>
        <v/>
      </c>
      <c r="K7" s="40">
        <f>'COGS &amp; OpEx'!K29</f>
        <v/>
      </c>
      <c r="L7" s="40">
        <f>'COGS &amp; OpEx'!L29</f>
        <v/>
      </c>
    </row>
    <row r="8">
      <c r="A8" s="1" t="inlineStr">
        <is>
          <t>Change in Accounts Receivable</t>
        </is>
      </c>
      <c r="B8" s="14" t="inlineStr">
        <is>
          <t>RMB mn</t>
        </is>
      </c>
      <c r="D8" s="24" t="n"/>
      <c r="E8" s="24" t="n"/>
      <c r="F8" s="24" t="n"/>
      <c r="G8" s="25" t="n"/>
      <c r="H8" s="39">
        <f>-'Working Capital'!H18</f>
        <v/>
      </c>
      <c r="I8" s="39">
        <f>-'Working Capital'!I18</f>
        <v/>
      </c>
      <c r="J8" s="39">
        <f>-'Working Capital'!J18</f>
        <v/>
      </c>
      <c r="K8" s="39">
        <f>-'Working Capital'!K18</f>
        <v/>
      </c>
      <c r="L8" s="39">
        <f>-'Working Capital'!L18</f>
        <v/>
      </c>
    </row>
    <row r="9">
      <c r="A9" s="1" t="inlineStr">
        <is>
          <t>Change in Inventory</t>
        </is>
      </c>
      <c r="B9" s="14" t="inlineStr">
        <is>
          <t>RMB mn</t>
        </is>
      </c>
      <c r="D9" s="21" t="n"/>
      <c r="E9" s="21" t="n"/>
      <c r="F9" s="21" t="n"/>
      <c r="G9" s="22" t="n"/>
      <c r="H9" s="40">
        <f>-'Working Capital'!H19</f>
        <v/>
      </c>
      <c r="I9" s="40">
        <f>-'Working Capital'!I19</f>
        <v/>
      </c>
      <c r="J9" s="40">
        <f>-'Working Capital'!J19</f>
        <v/>
      </c>
      <c r="K9" s="40">
        <f>-'Working Capital'!K19</f>
        <v/>
      </c>
      <c r="L9" s="40">
        <f>-'Working Capital'!L19</f>
        <v/>
      </c>
    </row>
    <row r="10">
      <c r="A10" s="1" t="inlineStr">
        <is>
          <t>Change in Accounts Payable</t>
        </is>
      </c>
      <c r="B10" s="14" t="inlineStr">
        <is>
          <t>RMB mn</t>
        </is>
      </c>
      <c r="D10" s="24" t="n"/>
      <c r="E10" s="24" t="n"/>
      <c r="F10" s="24" t="n"/>
      <c r="G10" s="25" t="n"/>
      <c r="H10" s="39">
        <f>'Working Capital'!H20</f>
        <v/>
      </c>
      <c r="I10" s="39">
        <f>'Working Capital'!I20</f>
        <v/>
      </c>
      <c r="J10" s="39">
        <f>'Working Capital'!J20</f>
        <v/>
      </c>
      <c r="K10" s="39">
        <f>'Working Capital'!K20</f>
        <v/>
      </c>
      <c r="L10" s="39">
        <f>'Working Capital'!L20</f>
        <v/>
      </c>
    </row>
    <row r="11">
      <c r="A11" s="1" t="inlineStr">
        <is>
          <t>Change in Other Working Capital</t>
        </is>
      </c>
      <c r="B11" s="14" t="inlineStr">
        <is>
          <t>RMB mn</t>
        </is>
      </c>
      <c r="D11" s="21" t="n"/>
      <c r="E11" s="21" t="n"/>
      <c r="F11" s="21" t="n"/>
      <c r="G11" s="22" t="n"/>
      <c r="H11" s="23" t="n"/>
      <c r="I11" s="23" t="n"/>
      <c r="J11" s="23" t="n"/>
      <c r="K11" s="23" t="n"/>
      <c r="L11" s="23" t="n"/>
    </row>
    <row r="12">
      <c r="A12" s="1" t="inlineStr">
        <is>
          <t>Total Change in Working Capital</t>
        </is>
      </c>
      <c r="B12" s="14" t="inlineStr">
        <is>
          <t>RMB mn</t>
        </is>
      </c>
      <c r="D12" s="24" t="n"/>
      <c r="E12" s="24" t="n"/>
      <c r="F12" s="24" t="n"/>
      <c r="G12" s="25" t="n"/>
      <c r="H12" s="26">
        <f>H8+H9+H10+H11</f>
        <v/>
      </c>
      <c r="I12" s="26">
        <f>I8+I9+I10+I11</f>
        <v/>
      </c>
      <c r="J12" s="26">
        <f>J8+J9+J10+J11</f>
        <v/>
      </c>
      <c r="K12" s="26">
        <f>K8+K9+K10+K11</f>
        <v/>
      </c>
      <c r="L12" s="26">
        <f>L8+L9+L10+L11</f>
        <v/>
      </c>
    </row>
    <row r="13">
      <c r="G13" s="18" t="n"/>
    </row>
    <row r="14">
      <c r="A14" s="33" t="inlineStr">
        <is>
          <t>Cash from Operations</t>
        </is>
      </c>
      <c r="B14" s="14" t="inlineStr">
        <is>
          <t>RMB mn</t>
        </is>
      </c>
      <c r="D14" s="34" t="n"/>
      <c r="E14" s="34" t="n"/>
      <c r="F14" s="34" t="n"/>
      <c r="G14" s="35" t="n"/>
      <c r="H14" s="34">
        <f>H6+H7+H12</f>
        <v/>
      </c>
      <c r="I14" s="34">
        <f>I6+I7+I12</f>
        <v/>
      </c>
      <c r="J14" s="34">
        <f>J6+J7+J12</f>
        <v/>
      </c>
      <c r="K14" s="34">
        <f>K6+K7+K12</f>
        <v/>
      </c>
      <c r="L14" s="34">
        <f>L6+L7+L12</f>
        <v/>
      </c>
    </row>
    <row r="15">
      <c r="G15" s="18" t="n"/>
    </row>
    <row r="16">
      <c r="A16" s="19" t="inlineStr">
        <is>
          <t>INVESTING ACTIVITIES</t>
        </is>
      </c>
      <c r="B16" s="20" t="n"/>
      <c r="C16" s="20" t="n"/>
      <c r="D16" s="8" t="n"/>
      <c r="E16" s="8" t="n"/>
      <c r="F16" s="8" t="n"/>
      <c r="G16" s="9" t="n"/>
      <c r="H16" s="8" t="n"/>
      <c r="I16" s="8" t="n"/>
      <c r="J16" s="8" t="n"/>
      <c r="K16" s="8" t="n"/>
      <c r="L16" s="8" t="n"/>
    </row>
    <row r="17">
      <c r="A17" s="1" t="inlineStr">
        <is>
          <t>Capital Expenditures</t>
        </is>
      </c>
      <c r="B17" s="14" t="inlineStr">
        <is>
          <t>RMB mn</t>
        </is>
      </c>
      <c r="D17" s="21" t="n"/>
      <c r="E17" s="21" t="n"/>
      <c r="F17" s="21" t="n"/>
      <c r="G17" s="22" t="n"/>
      <c r="H17" s="40">
        <f>-'Debt &amp; CapEx'!H30</f>
        <v/>
      </c>
      <c r="I17" s="40">
        <f>-'Debt &amp; CapEx'!I30</f>
        <v/>
      </c>
      <c r="J17" s="40">
        <f>-'Debt &amp; CapEx'!J30</f>
        <v/>
      </c>
      <c r="K17" s="40">
        <f>-'Debt &amp; CapEx'!K30</f>
        <v/>
      </c>
      <c r="L17" s="40">
        <f>-'Debt &amp; CapEx'!L30</f>
        <v/>
      </c>
    </row>
    <row r="18">
      <c r="A18" s="1" t="inlineStr">
        <is>
          <t>Other Investing Activities</t>
        </is>
      </c>
      <c r="B18" s="14" t="inlineStr">
        <is>
          <t>RMB mn</t>
        </is>
      </c>
      <c r="D18" s="24" t="n"/>
      <c r="E18" s="24" t="n"/>
      <c r="F18" s="24" t="n"/>
      <c r="G18" s="25" t="n"/>
      <c r="H18" s="26" t="n"/>
      <c r="I18" s="26" t="n"/>
      <c r="J18" s="26" t="n"/>
      <c r="K18" s="26" t="n"/>
      <c r="L18" s="26" t="n"/>
    </row>
    <row r="19">
      <c r="G19" s="18" t="n"/>
    </row>
    <row r="20">
      <c r="A20" s="33" t="inlineStr">
        <is>
          <t>Cash from Investing</t>
        </is>
      </c>
      <c r="B20" s="14" t="inlineStr">
        <is>
          <t>RMB mn</t>
        </is>
      </c>
      <c r="D20" s="34" t="n"/>
      <c r="E20" s="34" t="n"/>
      <c r="F20" s="34" t="n"/>
      <c r="G20" s="35" t="n"/>
      <c r="H20" s="34">
        <f>H17+H18</f>
        <v/>
      </c>
      <c r="I20" s="34">
        <f>I17+I18</f>
        <v/>
      </c>
      <c r="J20" s="34">
        <f>J17+J18</f>
        <v/>
      </c>
      <c r="K20" s="34">
        <f>K17+K18</f>
        <v/>
      </c>
      <c r="L20" s="34">
        <f>L17+L18</f>
        <v/>
      </c>
    </row>
    <row r="21">
      <c r="G21" s="18" t="n"/>
    </row>
    <row r="22">
      <c r="A22" s="19" t="inlineStr">
        <is>
          <t>FINANCING ACTIVITIES</t>
        </is>
      </c>
      <c r="B22" s="20" t="n"/>
      <c r="C22" s="20" t="n"/>
      <c r="D22" s="8" t="n"/>
      <c r="E22" s="8" t="n"/>
      <c r="F22" s="8" t="n"/>
      <c r="G22" s="9" t="n"/>
      <c r="H22" s="8" t="n"/>
      <c r="I22" s="8" t="n"/>
      <c r="J22" s="8" t="n"/>
      <c r="K22" s="8" t="n"/>
      <c r="L22" s="8" t="n"/>
    </row>
    <row r="23">
      <c r="A23" s="1" t="inlineStr">
        <is>
          <t>Debt Drawdown</t>
        </is>
      </c>
      <c r="B23" s="14" t="inlineStr">
        <is>
          <t>RMB mn</t>
        </is>
      </c>
      <c r="D23" s="21" t="n"/>
      <c r="E23" s="21" t="n"/>
      <c r="F23" s="21" t="n"/>
      <c r="G23" s="22" t="n"/>
      <c r="H23" s="40">
        <f>'Debt &amp; CapEx'!H24</f>
        <v/>
      </c>
      <c r="I23" s="40">
        <f>'Debt &amp; CapEx'!I24</f>
        <v/>
      </c>
      <c r="J23" s="40">
        <f>'Debt &amp; CapEx'!J24</f>
        <v/>
      </c>
      <c r="K23" s="40">
        <f>'Debt &amp; CapEx'!K24</f>
        <v/>
      </c>
      <c r="L23" s="40">
        <f>'Debt &amp; CapEx'!L24</f>
        <v/>
      </c>
    </row>
    <row r="24">
      <c r="A24" s="1" t="inlineStr">
        <is>
          <t>Debt Repayment</t>
        </is>
      </c>
      <c r="B24" s="14" t="inlineStr">
        <is>
          <t>RMB mn</t>
        </is>
      </c>
      <c r="D24" s="24" t="n"/>
      <c r="E24" s="24" t="n"/>
      <c r="F24" s="24" t="n"/>
      <c r="G24" s="25" t="n"/>
      <c r="H24" s="39">
        <f>-'Debt &amp; CapEx'!H25</f>
        <v/>
      </c>
      <c r="I24" s="39">
        <f>-'Debt &amp; CapEx'!I25</f>
        <v/>
      </c>
      <c r="J24" s="39">
        <f>-'Debt &amp; CapEx'!J25</f>
        <v/>
      </c>
      <c r="K24" s="39">
        <f>-'Debt &amp; CapEx'!K25</f>
        <v/>
      </c>
      <c r="L24" s="39">
        <f>-'Debt &amp; CapEx'!L25</f>
        <v/>
      </c>
    </row>
    <row r="25">
      <c r="A25" s="1" t="inlineStr">
        <is>
          <t>Dividends Paid</t>
        </is>
      </c>
      <c r="B25" s="14" t="inlineStr">
        <is>
          <t>RMB mn</t>
        </is>
      </c>
      <c r="D25" s="21" t="n"/>
      <c r="E25" s="21" t="n"/>
      <c r="F25" s="21" t="n"/>
      <c r="G25" s="22" t="n"/>
      <c r="H25" s="40">
        <f>-'Income Statement'!H30*'Key Assumptions'!H67</f>
        <v/>
      </c>
      <c r="I25" s="40">
        <f>-'Income Statement'!I30*'Key Assumptions'!I67</f>
        <v/>
      </c>
      <c r="J25" s="40">
        <f>-'Income Statement'!J30*'Key Assumptions'!J67</f>
        <v/>
      </c>
      <c r="K25" s="40">
        <f>-'Income Statement'!K30*'Key Assumptions'!K67</f>
        <v/>
      </c>
      <c r="L25" s="40">
        <f>-'Income Statement'!L30*'Key Assumptions'!L67</f>
        <v/>
      </c>
    </row>
    <row r="26">
      <c r="A26" s="1" t="inlineStr">
        <is>
          <t>Equity Issuance / (Buyback)</t>
        </is>
      </c>
      <c r="B26" s="14" t="inlineStr">
        <is>
          <t>RMB mn</t>
        </is>
      </c>
      <c r="D26" s="24" t="n"/>
      <c r="E26" s="24" t="n"/>
      <c r="F26" s="24" t="n"/>
      <c r="G26" s="25" t="n"/>
      <c r="H26" s="26" t="n"/>
      <c r="I26" s="26" t="n"/>
      <c r="J26" s="26" t="n"/>
      <c r="K26" s="26" t="n"/>
      <c r="L26" s="26" t="n"/>
    </row>
    <row r="27">
      <c r="G27" s="18" t="n"/>
    </row>
    <row r="28">
      <c r="A28" s="33" t="inlineStr">
        <is>
          <t>Cash from Financing</t>
        </is>
      </c>
      <c r="B28" s="14" t="inlineStr">
        <is>
          <t>RMB mn</t>
        </is>
      </c>
      <c r="D28" s="34" t="n"/>
      <c r="E28" s="34" t="n"/>
      <c r="F28" s="34" t="n"/>
      <c r="G28" s="35" t="n"/>
      <c r="H28" s="34">
        <f>H23+H24+H25+H26</f>
        <v/>
      </c>
      <c r="I28" s="34">
        <f>I23+I24+I25+I26</f>
        <v/>
      </c>
      <c r="J28" s="34">
        <f>J23+J24+J25+J26</f>
        <v/>
      </c>
      <c r="K28" s="34">
        <f>K23+K24+K25+K26</f>
        <v/>
      </c>
      <c r="L28" s="34">
        <f>L23+L24+L25+L26</f>
        <v/>
      </c>
    </row>
    <row r="29">
      <c r="G29" s="18" t="n"/>
    </row>
    <row r="30">
      <c r="A30" s="33" t="inlineStr">
        <is>
          <t>Net Change in Cash</t>
        </is>
      </c>
      <c r="B30" s="14" t="inlineStr">
        <is>
          <t>RMB mn</t>
        </is>
      </c>
      <c r="D30" s="34" t="n"/>
      <c r="E30" s="34" t="n"/>
      <c r="F30" s="34" t="n"/>
      <c r="G30" s="35" t="n"/>
      <c r="H30" s="34">
        <f>H14+H20+H28</f>
        <v/>
      </c>
      <c r="I30" s="34">
        <f>I14+I20+I28</f>
        <v/>
      </c>
      <c r="J30" s="34">
        <f>J14+J20+J28</f>
        <v/>
      </c>
      <c r="K30" s="34">
        <f>K14+K20+K28</f>
        <v/>
      </c>
      <c r="L30" s="34">
        <f>L14+L20+L28</f>
        <v/>
      </c>
    </row>
    <row r="31">
      <c r="A31" s="1" t="inlineStr">
        <is>
          <t>Beginning Cash</t>
        </is>
      </c>
      <c r="B31" s="14" t="inlineStr">
        <is>
          <t>RMB mn</t>
        </is>
      </c>
      <c r="D31" s="21" t="n"/>
      <c r="E31" s="21" t="n"/>
      <c r="F31" s="21" t="n"/>
      <c r="G31" s="22" t="n"/>
      <c r="H31" s="23">
        <f>G32</f>
        <v/>
      </c>
      <c r="I31" s="23">
        <f>H32</f>
        <v/>
      </c>
      <c r="J31" s="23">
        <f>I32</f>
        <v/>
      </c>
      <c r="K31" s="23">
        <f>J32</f>
        <v/>
      </c>
      <c r="L31" s="23">
        <f>K32</f>
        <v/>
      </c>
    </row>
    <row r="32">
      <c r="A32" s="33" t="inlineStr">
        <is>
          <t>Ending Cash</t>
        </is>
      </c>
      <c r="B32" s="14" t="inlineStr">
        <is>
          <t>RMB mn</t>
        </is>
      </c>
      <c r="D32" s="34" t="n"/>
      <c r="E32" s="34" t="n"/>
      <c r="F32" s="34" t="n"/>
      <c r="G32" s="35" t="n"/>
      <c r="H32" s="34">
        <f>H31+H30</f>
        <v/>
      </c>
      <c r="I32" s="34">
        <f>I31+I30</f>
        <v/>
      </c>
      <c r="J32" s="34">
        <f>J31+J30</f>
        <v/>
      </c>
      <c r="K32" s="34">
        <f>K31+K30</f>
        <v/>
      </c>
      <c r="L32" s="34">
        <f>L31+L30</f>
        <v/>
      </c>
    </row>
    <row r="33">
      <c r="G33" s="18" t="n"/>
    </row>
    <row r="34">
      <c r="A34" s="33" t="inlineStr">
        <is>
          <t>Cash Tie-out (must = 0)</t>
        </is>
      </c>
      <c r="B34" s="14" t="inlineStr">
        <is>
          <t>RMB mn</t>
        </is>
      </c>
      <c r="D34" s="43" t="n"/>
      <c r="E34" s="43" t="n"/>
      <c r="F34" s="43" t="n"/>
      <c r="G34" s="44" t="n"/>
      <c r="H34" s="43">
        <f>ROUND(H32-'Balance Sheet'!H6,2)</f>
        <v/>
      </c>
      <c r="I34" s="43">
        <f>ROUND(I32-'Balance Sheet'!I6,2)</f>
        <v/>
      </c>
      <c r="J34" s="43">
        <f>ROUND(J32-'Balance Sheet'!J6,2)</f>
        <v/>
      </c>
      <c r="K34" s="43">
        <f>ROUND(K32-'Balance Sheet'!K6,2)</f>
        <v/>
      </c>
      <c r="L34" s="43">
        <f>ROUND(L32-'Balance Sheet'!L6,2)</f>
        <v/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Working Capital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3">
      <c r="D3" s="6" t="n">
        <v>2021</v>
      </c>
      <c r="E3" s="6" t="n">
        <v>2022</v>
      </c>
      <c r="F3" s="6" t="n">
        <v>2023</v>
      </c>
      <c r="G3" s="7" t="n">
        <v>2024</v>
      </c>
      <c r="H3" s="6" t="inlineStr">
        <is>
          <t>2025E</t>
        </is>
      </c>
      <c r="I3" s="6" t="inlineStr">
        <is>
          <t>2026E</t>
        </is>
      </c>
      <c r="J3" s="6" t="inlineStr">
        <is>
          <t>2027E</t>
        </is>
      </c>
      <c r="K3" s="6" t="inlineStr">
        <is>
          <t>2028E</t>
        </is>
      </c>
      <c r="L3" s="6" t="inlineStr">
        <is>
          <t>2029E</t>
        </is>
      </c>
    </row>
    <row r="4">
      <c r="D4" s="8" t="n"/>
      <c r="E4" s="8" t="n"/>
      <c r="F4" s="8" t="n"/>
      <c r="G4" s="9" t="n"/>
      <c r="H4" s="8" t="n"/>
      <c r="I4" s="8" t="n"/>
      <c r="J4" s="8" t="n"/>
      <c r="K4" s="8" t="n"/>
      <c r="L4" s="8" t="n"/>
    </row>
    <row r="5">
      <c r="A5" s="19" t="inlineStr">
        <is>
          <t>WORKING CAPITAL DAYS</t>
        </is>
      </c>
      <c r="B5" s="20" t="n"/>
      <c r="C5" s="20" t="n"/>
      <c r="D5" s="20" t="n"/>
      <c r="E5" s="20" t="n"/>
      <c r="F5" s="20" t="n"/>
      <c r="G5" s="36" t="n"/>
      <c r="H5" s="20" t="n"/>
      <c r="I5" s="20" t="n"/>
      <c r="J5" s="20" t="n"/>
      <c r="K5" s="20" t="n"/>
      <c r="L5" s="20" t="n"/>
    </row>
    <row r="6">
      <c r="A6" s="1" t="inlineStr">
        <is>
          <t>Accounts Receivable Days</t>
        </is>
      </c>
      <c r="B6" s="14" t="inlineStr">
        <is>
          <t>days</t>
        </is>
      </c>
      <c r="D6" s="24" t="n"/>
      <c r="E6" s="24" t="n"/>
      <c r="F6" s="24" t="n"/>
      <c r="G6" s="25" t="n"/>
      <c r="H6" s="26" t="n"/>
      <c r="I6" s="26" t="n"/>
      <c r="J6" s="26" t="n"/>
      <c r="K6" s="26" t="n"/>
      <c r="L6" s="26" t="n"/>
    </row>
    <row r="7">
      <c r="A7" s="1" t="inlineStr">
        <is>
          <t>Inventory Days</t>
        </is>
      </c>
      <c r="B7" s="14" t="inlineStr">
        <is>
          <t>days</t>
        </is>
      </c>
      <c r="D7" s="21" t="n"/>
      <c r="E7" s="21" t="n"/>
      <c r="F7" s="21" t="n"/>
      <c r="G7" s="22" t="n"/>
      <c r="H7" s="23" t="n"/>
      <c r="I7" s="23" t="n"/>
      <c r="J7" s="23" t="n"/>
      <c r="K7" s="23" t="n"/>
      <c r="L7" s="23" t="n"/>
    </row>
    <row r="8">
      <c r="A8" s="1" t="inlineStr">
        <is>
          <t>Accounts Payable Days</t>
        </is>
      </c>
      <c r="B8" s="14" t="inlineStr">
        <is>
          <t>days</t>
        </is>
      </c>
      <c r="D8" s="24" t="n"/>
      <c r="E8" s="24" t="n"/>
      <c r="F8" s="24" t="n"/>
      <c r="G8" s="25" t="n"/>
      <c r="H8" s="26" t="n"/>
      <c r="I8" s="26" t="n"/>
      <c r="J8" s="26" t="n"/>
      <c r="K8" s="26" t="n"/>
      <c r="L8" s="26" t="n"/>
    </row>
    <row r="9">
      <c r="G9" s="18" t="n"/>
    </row>
    <row r="10">
      <c r="A10" s="19" t="inlineStr">
        <is>
          <t>WORKING CAPITAL BALANCES</t>
        </is>
      </c>
      <c r="B10" s="20" t="n"/>
      <c r="C10" s="20" t="n"/>
      <c r="D10" s="8" t="n"/>
      <c r="E10" s="8" t="n"/>
      <c r="F10" s="8" t="n"/>
      <c r="G10" s="9" t="n"/>
      <c r="H10" s="8" t="n"/>
      <c r="I10" s="8" t="n"/>
      <c r="J10" s="8" t="n"/>
      <c r="K10" s="8" t="n"/>
      <c r="L10" s="8" t="n"/>
    </row>
    <row r="11">
      <c r="A11" s="1" t="inlineStr">
        <is>
          <t>Accounts Receivable</t>
        </is>
      </c>
      <c r="B11" s="14" t="inlineStr">
        <is>
          <t>RMB mn</t>
        </is>
      </c>
      <c r="D11" s="21" t="n"/>
      <c r="E11" s="21" t="n"/>
      <c r="F11" s="21" t="n"/>
      <c r="G11" s="22" t="n"/>
      <c r="H11" s="40">
        <f>'Key Assumptions'!H34/365*H6</f>
        <v/>
      </c>
      <c r="I11" s="40">
        <f>'Key Assumptions'!I34/365*I6</f>
        <v/>
      </c>
      <c r="J11" s="40">
        <f>'Key Assumptions'!J34/365*J6</f>
        <v/>
      </c>
      <c r="K11" s="40">
        <f>'Key Assumptions'!K34/365*K6</f>
        <v/>
      </c>
      <c r="L11" s="40">
        <f>'Key Assumptions'!L34/365*L6</f>
        <v/>
      </c>
    </row>
    <row r="12">
      <c r="A12" s="1" t="inlineStr">
        <is>
          <t>Inventory</t>
        </is>
      </c>
      <c r="B12" s="14" t="inlineStr">
        <is>
          <t>RMB mn</t>
        </is>
      </c>
      <c r="D12" s="24" t="n"/>
      <c r="E12" s="24" t="n"/>
      <c r="F12" s="24" t="n"/>
      <c r="G12" s="25" t="n"/>
      <c r="H12" s="39">
        <f>'COGS &amp; OpEx'!H10/365*H7</f>
        <v/>
      </c>
      <c r="I12" s="39">
        <f>'COGS &amp; OpEx'!I10/365*I7</f>
        <v/>
      </c>
      <c r="J12" s="39">
        <f>'COGS &amp; OpEx'!J10/365*J7</f>
        <v/>
      </c>
      <c r="K12" s="39">
        <f>'COGS &amp; OpEx'!K10/365*K7</f>
        <v/>
      </c>
      <c r="L12" s="39">
        <f>'COGS &amp; OpEx'!L10/365*L7</f>
        <v/>
      </c>
    </row>
    <row r="13">
      <c r="A13" s="1" t="inlineStr">
        <is>
          <t>Accounts Payable</t>
        </is>
      </c>
      <c r="B13" s="14" t="inlineStr">
        <is>
          <t>RMB mn</t>
        </is>
      </c>
      <c r="D13" s="21" t="n"/>
      <c r="E13" s="21" t="n"/>
      <c r="F13" s="21" t="n"/>
      <c r="G13" s="22" t="n"/>
      <c r="H13" s="40">
        <f>'COGS &amp; OpEx'!H10/365*H8</f>
        <v/>
      </c>
      <c r="I13" s="40">
        <f>'COGS &amp; OpEx'!I10/365*I8</f>
        <v/>
      </c>
      <c r="J13" s="40">
        <f>'COGS &amp; OpEx'!J10/365*J8</f>
        <v/>
      </c>
      <c r="K13" s="40">
        <f>'COGS &amp; OpEx'!K10/365*K8</f>
        <v/>
      </c>
      <c r="L13" s="40">
        <f>'COGS &amp; OpEx'!L10/365*L8</f>
        <v/>
      </c>
    </row>
    <row r="14">
      <c r="D14" s="8" t="n"/>
      <c r="E14" s="8" t="n"/>
      <c r="F14" s="8" t="n"/>
      <c r="G14" s="9" t="n"/>
      <c r="H14" s="8" t="n"/>
      <c r="I14" s="8" t="n"/>
      <c r="J14" s="8" t="n"/>
      <c r="K14" s="8" t="n"/>
      <c r="L14" s="8" t="n"/>
    </row>
    <row r="15">
      <c r="A15" s="33" t="inlineStr">
        <is>
          <t>Net Working Capital</t>
        </is>
      </c>
      <c r="B15" s="14" t="inlineStr">
        <is>
          <t>RMB mn</t>
        </is>
      </c>
      <c r="D15" s="37" t="n"/>
      <c r="E15" s="37" t="n"/>
      <c r="F15" s="37" t="n"/>
      <c r="G15" s="38" t="n"/>
      <c r="H15" s="37">
        <f>H11+H12-H13</f>
        <v/>
      </c>
      <c r="I15" s="37">
        <f>I11+I12-I13</f>
        <v/>
      </c>
      <c r="J15" s="37">
        <f>J11+J12-J13</f>
        <v/>
      </c>
      <c r="K15" s="37">
        <f>K11+K12-K13</f>
        <v/>
      </c>
      <c r="L15" s="37">
        <f>L11+L12-L13</f>
        <v/>
      </c>
    </row>
    <row r="16">
      <c r="D16" s="8" t="n"/>
      <c r="E16" s="8" t="n"/>
      <c r="F16" s="8" t="n"/>
      <c r="G16" s="9" t="n"/>
      <c r="H16" s="8" t="n"/>
      <c r="I16" s="8" t="n"/>
      <c r="J16" s="8" t="n"/>
      <c r="K16" s="8" t="n"/>
      <c r="L16" s="8" t="n"/>
    </row>
    <row r="17">
      <c r="A17" s="19" t="inlineStr">
        <is>
          <t>CHANGES IN WORKING CAPITAL</t>
        </is>
      </c>
      <c r="B17" s="20" t="n"/>
      <c r="C17" s="20" t="n"/>
      <c r="D17" s="20" t="n"/>
      <c r="E17" s="20" t="n"/>
      <c r="F17" s="20" t="n"/>
      <c r="G17" s="36" t="n"/>
      <c r="H17" s="20" t="n"/>
      <c r="I17" s="20" t="n"/>
      <c r="J17" s="20" t="n"/>
      <c r="K17" s="20" t="n"/>
      <c r="L17" s="20" t="n"/>
    </row>
    <row r="18">
      <c r="A18" s="1" t="inlineStr">
        <is>
          <t>Change in AR</t>
        </is>
      </c>
      <c r="B18" s="14" t="inlineStr">
        <is>
          <t>RMB mn</t>
        </is>
      </c>
      <c r="D18" s="24" t="n"/>
      <c r="E18" s="24" t="n"/>
      <c r="F18" s="24" t="n"/>
      <c r="G18" s="25" t="n"/>
      <c r="H18" s="26">
        <f>H11-G11</f>
        <v/>
      </c>
      <c r="I18" s="26">
        <f>I11-H11</f>
        <v/>
      </c>
      <c r="J18" s="26">
        <f>J11-I11</f>
        <v/>
      </c>
      <c r="K18" s="26">
        <f>K11-J11</f>
        <v/>
      </c>
      <c r="L18" s="26">
        <f>L11-K11</f>
        <v/>
      </c>
    </row>
    <row r="19">
      <c r="A19" s="1" t="inlineStr">
        <is>
          <t>Change in Inventory</t>
        </is>
      </c>
      <c r="B19" s="14" t="inlineStr">
        <is>
          <t>RMB mn</t>
        </is>
      </c>
      <c r="D19" s="21" t="n"/>
      <c r="E19" s="21" t="n"/>
      <c r="F19" s="21" t="n"/>
      <c r="G19" s="22" t="n"/>
      <c r="H19" s="23">
        <f>H12-G12</f>
        <v/>
      </c>
      <c r="I19" s="23">
        <f>I12-H12</f>
        <v/>
      </c>
      <c r="J19" s="23">
        <f>J12-I12</f>
        <v/>
      </c>
      <c r="K19" s="23">
        <f>K12-J12</f>
        <v/>
      </c>
      <c r="L19" s="23">
        <f>L12-K12</f>
        <v/>
      </c>
    </row>
    <row r="20">
      <c r="A20" s="1" t="inlineStr">
        <is>
          <t>Change in AP</t>
        </is>
      </c>
      <c r="B20" s="14" t="inlineStr">
        <is>
          <t>RMB mn</t>
        </is>
      </c>
      <c r="D20" s="24" t="n"/>
      <c r="E20" s="24" t="n"/>
      <c r="F20" s="24" t="n"/>
      <c r="G20" s="25" t="n"/>
      <c r="H20" s="26">
        <f>H13-G13</f>
        <v/>
      </c>
      <c r="I20" s="26">
        <f>I13-H13</f>
        <v/>
      </c>
      <c r="J20" s="26">
        <f>J13-I13</f>
        <v/>
      </c>
      <c r="K20" s="26">
        <f>K13-J13</f>
        <v/>
      </c>
      <c r="L20" s="26">
        <f>L13-K13</f>
        <v/>
      </c>
    </row>
    <row r="21">
      <c r="G21" s="18" t="n"/>
    </row>
    <row r="22">
      <c r="A22" s="33" t="inlineStr">
        <is>
          <t>Change in Net Working Capital</t>
        </is>
      </c>
      <c r="B22" s="14" t="inlineStr">
        <is>
          <t>RMB mn</t>
        </is>
      </c>
      <c r="D22" s="34" t="n"/>
      <c r="E22" s="34" t="n"/>
      <c r="F22" s="34" t="n"/>
      <c r="G22" s="35" t="n"/>
      <c r="H22" s="34">
        <f>H15-G15</f>
        <v/>
      </c>
      <c r="I22" s="34">
        <f>I15-H15</f>
        <v/>
      </c>
      <c r="J22" s="34">
        <f>J15-I15</f>
        <v/>
      </c>
      <c r="K22" s="34">
        <f>K15-J15</f>
        <v/>
      </c>
      <c r="L22" s="34">
        <f>L15-K15</f>
        <v/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Debt &amp; CapEx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3">
      <c r="D3" s="6" t="n">
        <v>2021</v>
      </c>
      <c r="E3" s="6" t="n">
        <v>2022</v>
      </c>
      <c r="F3" s="6" t="n">
        <v>2023</v>
      </c>
      <c r="G3" s="7" t="n">
        <v>2024</v>
      </c>
      <c r="H3" s="6" t="inlineStr">
        <is>
          <t>2025E</t>
        </is>
      </c>
      <c r="I3" s="6" t="inlineStr">
        <is>
          <t>2026E</t>
        </is>
      </c>
      <c r="J3" s="6" t="inlineStr">
        <is>
          <t>2027E</t>
        </is>
      </c>
      <c r="K3" s="6" t="inlineStr">
        <is>
          <t>2028E</t>
        </is>
      </c>
      <c r="L3" s="6" t="inlineStr">
        <is>
          <t>2029E</t>
        </is>
      </c>
    </row>
    <row r="4">
      <c r="D4" s="8" t="n"/>
      <c r="E4" s="8" t="n"/>
      <c r="F4" s="8" t="n"/>
      <c r="G4" s="9" t="n"/>
      <c r="H4" s="8" t="n"/>
      <c r="I4" s="8" t="n"/>
      <c r="J4" s="8" t="n"/>
      <c r="K4" s="8" t="n"/>
      <c r="L4" s="8" t="n"/>
    </row>
    <row r="5">
      <c r="A5" s="19" t="inlineStr">
        <is>
          <t>DEBT TRANCHE 1</t>
        </is>
      </c>
      <c r="B5" s="20" t="n"/>
      <c r="C5" s="20" t="n"/>
      <c r="D5" s="20" t="n"/>
      <c r="E5" s="20" t="n"/>
      <c r="F5" s="20" t="n"/>
      <c r="G5" s="36" t="n"/>
      <c r="H5" s="20" t="n"/>
      <c r="I5" s="20" t="n"/>
      <c r="J5" s="20" t="n"/>
      <c r="K5" s="20" t="n"/>
      <c r="L5" s="20" t="n"/>
    </row>
    <row r="6">
      <c r="A6" s="1" t="inlineStr">
        <is>
          <t>Beginning Balance</t>
        </is>
      </c>
      <c r="B6" s="14" t="inlineStr">
        <is>
          <t>RMB mn</t>
        </is>
      </c>
      <c r="D6" s="24" t="n"/>
      <c r="E6" s="24" t="n"/>
      <c r="F6" s="24" t="n"/>
      <c r="G6" s="25" t="n"/>
      <c r="H6" s="26">
        <f>G9</f>
        <v/>
      </c>
      <c r="I6" s="26">
        <f>H9</f>
        <v/>
      </c>
      <c r="J6" s="26">
        <f>I9</f>
        <v/>
      </c>
      <c r="K6" s="26">
        <f>J9</f>
        <v/>
      </c>
      <c r="L6" s="26">
        <f>K9</f>
        <v/>
      </c>
    </row>
    <row r="7">
      <c r="A7" s="1" t="inlineStr">
        <is>
          <t>Drawdown</t>
        </is>
      </c>
      <c r="B7" s="14" t="inlineStr">
        <is>
          <t>RMB mn</t>
        </is>
      </c>
      <c r="D7" s="21" t="n"/>
      <c r="E7" s="21" t="n"/>
      <c r="F7" s="21" t="n"/>
      <c r="G7" s="22" t="n"/>
      <c r="H7" s="23" t="n"/>
      <c r="I7" s="23" t="n"/>
      <c r="J7" s="23" t="n"/>
      <c r="K7" s="23" t="n"/>
      <c r="L7" s="23" t="n"/>
    </row>
    <row r="8">
      <c r="A8" s="1" t="inlineStr">
        <is>
          <t>Repayment</t>
        </is>
      </c>
      <c r="B8" s="14" t="inlineStr">
        <is>
          <t>RMB mn</t>
        </is>
      </c>
      <c r="D8" s="24" t="n"/>
      <c r="E8" s="24" t="n"/>
      <c r="F8" s="24" t="n"/>
      <c r="G8" s="25" t="n"/>
      <c r="H8" s="26" t="n"/>
      <c r="I8" s="26" t="n"/>
      <c r="J8" s="26" t="n"/>
      <c r="K8" s="26" t="n"/>
      <c r="L8" s="26" t="n"/>
    </row>
    <row r="9">
      <c r="A9" s="1" t="inlineStr">
        <is>
          <t>Ending Balance</t>
        </is>
      </c>
      <c r="B9" s="14" t="inlineStr">
        <is>
          <t>RMB mn</t>
        </is>
      </c>
      <c r="D9" s="21" t="n"/>
      <c r="E9" s="21" t="n"/>
      <c r="F9" s="21" t="n"/>
      <c r="G9" s="22" t="n"/>
      <c r="H9" s="23">
        <f>H6+H7-H8</f>
        <v/>
      </c>
      <c r="I9" s="23">
        <f>I6+I7-I8</f>
        <v/>
      </c>
      <c r="J9" s="23">
        <f>J6+J7-J8</f>
        <v/>
      </c>
      <c r="K9" s="23">
        <f>K6+K7-K8</f>
        <v/>
      </c>
      <c r="L9" s="23">
        <f>L6+L7-L8</f>
        <v/>
      </c>
    </row>
    <row r="10">
      <c r="A10" s="1" t="inlineStr">
        <is>
          <t>Interest Rate</t>
        </is>
      </c>
      <c r="B10" s="14" t="inlineStr">
        <is>
          <t>%</t>
        </is>
      </c>
      <c r="D10" s="30" t="n"/>
      <c r="E10" s="30" t="n"/>
      <c r="F10" s="30" t="n"/>
      <c r="G10" s="31" t="n"/>
      <c r="H10" s="32" t="n"/>
      <c r="I10" s="32" t="n"/>
      <c r="J10" s="32" t="n"/>
      <c r="K10" s="32" t="n"/>
      <c r="L10" s="32" t="n"/>
    </row>
    <row r="11">
      <c r="A11" s="1" t="inlineStr">
        <is>
          <t>Interest Expense</t>
        </is>
      </c>
      <c r="B11" s="14" t="inlineStr">
        <is>
          <t>RMB mn</t>
        </is>
      </c>
      <c r="D11" s="21" t="n"/>
      <c r="E11" s="21" t="n"/>
      <c r="F11" s="21" t="n"/>
      <c r="G11" s="22" t="n"/>
      <c r="H11" s="23">
        <f>H9*H10</f>
        <v/>
      </c>
      <c r="I11" s="23">
        <f>I9*I10</f>
        <v/>
      </c>
      <c r="J11" s="23">
        <f>J9*J10</f>
        <v/>
      </c>
      <c r="K11" s="23">
        <f>K9*K10</f>
        <v/>
      </c>
      <c r="L11" s="23">
        <f>L9*L10</f>
        <v/>
      </c>
    </row>
    <row r="12">
      <c r="D12" s="8" t="n"/>
      <c r="E12" s="8" t="n"/>
      <c r="F12" s="8" t="n"/>
      <c r="G12" s="9" t="n"/>
      <c r="H12" s="8" t="n"/>
      <c r="I12" s="8" t="n"/>
      <c r="J12" s="8" t="n"/>
      <c r="K12" s="8" t="n"/>
      <c r="L12" s="8" t="n"/>
    </row>
    <row r="13">
      <c r="A13" s="19" t="inlineStr">
        <is>
          <t>DEBT TRANCHE 2</t>
        </is>
      </c>
      <c r="B13" s="20" t="n"/>
      <c r="C13" s="20" t="n"/>
      <c r="D13" s="20" t="n"/>
      <c r="E13" s="20" t="n"/>
      <c r="F13" s="20" t="n"/>
      <c r="G13" s="36" t="n"/>
      <c r="H13" s="20" t="n"/>
      <c r="I13" s="20" t="n"/>
      <c r="J13" s="20" t="n"/>
      <c r="K13" s="20" t="n"/>
      <c r="L13" s="20" t="n"/>
    </row>
    <row r="14">
      <c r="A14" s="1" t="inlineStr">
        <is>
          <t>Beginning Balance</t>
        </is>
      </c>
      <c r="B14" s="14" t="inlineStr">
        <is>
          <t>RMB mn</t>
        </is>
      </c>
      <c r="D14" s="24" t="n"/>
      <c r="E14" s="24" t="n"/>
      <c r="F14" s="24" t="n"/>
      <c r="G14" s="25" t="n"/>
      <c r="H14" s="26">
        <f>G17</f>
        <v/>
      </c>
      <c r="I14" s="26">
        <f>H17</f>
        <v/>
      </c>
      <c r="J14" s="26">
        <f>I17</f>
        <v/>
      </c>
      <c r="K14" s="26">
        <f>J17</f>
        <v/>
      </c>
      <c r="L14" s="26">
        <f>K17</f>
        <v/>
      </c>
    </row>
    <row r="15">
      <c r="A15" s="1" t="inlineStr">
        <is>
          <t>Drawdown</t>
        </is>
      </c>
      <c r="B15" s="14" t="inlineStr">
        <is>
          <t>RMB mn</t>
        </is>
      </c>
      <c r="D15" s="21" t="n"/>
      <c r="E15" s="21" t="n"/>
      <c r="F15" s="21" t="n"/>
      <c r="G15" s="22" t="n"/>
      <c r="H15" s="23" t="n"/>
      <c r="I15" s="23" t="n"/>
      <c r="J15" s="23" t="n"/>
      <c r="K15" s="23" t="n"/>
      <c r="L15" s="23" t="n"/>
    </row>
    <row r="16">
      <c r="A16" s="1" t="inlineStr">
        <is>
          <t>Repayment</t>
        </is>
      </c>
      <c r="B16" s="14" t="inlineStr">
        <is>
          <t>RMB mn</t>
        </is>
      </c>
      <c r="D16" s="24" t="n"/>
      <c r="E16" s="24" t="n"/>
      <c r="F16" s="24" t="n"/>
      <c r="G16" s="25" t="n"/>
      <c r="H16" s="26" t="n"/>
      <c r="I16" s="26" t="n"/>
      <c r="J16" s="26" t="n"/>
      <c r="K16" s="26" t="n"/>
      <c r="L16" s="26" t="n"/>
    </row>
    <row r="17">
      <c r="A17" s="1" t="inlineStr">
        <is>
          <t>Ending Balance</t>
        </is>
      </c>
      <c r="B17" s="14" t="inlineStr">
        <is>
          <t>RMB mn</t>
        </is>
      </c>
      <c r="D17" s="21" t="n"/>
      <c r="E17" s="21" t="n"/>
      <c r="F17" s="21" t="n"/>
      <c r="G17" s="22" t="n"/>
      <c r="H17" s="23">
        <f>H14+H15-H16</f>
        <v/>
      </c>
      <c r="I17" s="23">
        <f>I14+I15-I16</f>
        <v/>
      </c>
      <c r="J17" s="23">
        <f>J14+J15-J16</f>
        <v/>
      </c>
      <c r="K17" s="23">
        <f>K14+K15-K16</f>
        <v/>
      </c>
      <c r="L17" s="23">
        <f>L14+L15-L16</f>
        <v/>
      </c>
    </row>
    <row r="18">
      <c r="A18" s="1" t="inlineStr">
        <is>
          <t>Interest Rate</t>
        </is>
      </c>
      <c r="B18" s="14" t="inlineStr">
        <is>
          <t>%</t>
        </is>
      </c>
      <c r="D18" s="30" t="n"/>
      <c r="E18" s="30" t="n"/>
      <c r="F18" s="30" t="n"/>
      <c r="G18" s="31" t="n"/>
      <c r="H18" s="32" t="n"/>
      <c r="I18" s="32" t="n"/>
      <c r="J18" s="32" t="n"/>
      <c r="K18" s="32" t="n"/>
      <c r="L18" s="32" t="n"/>
    </row>
    <row r="19">
      <c r="A19" s="1" t="inlineStr">
        <is>
          <t>Interest Expense</t>
        </is>
      </c>
      <c r="B19" s="14" t="inlineStr">
        <is>
          <t>RMB mn</t>
        </is>
      </c>
      <c r="D19" s="21" t="n"/>
      <c r="E19" s="21" t="n"/>
      <c r="F19" s="21" t="n"/>
      <c r="G19" s="22" t="n"/>
      <c r="H19" s="23">
        <f>H17*H18</f>
        <v/>
      </c>
      <c r="I19" s="23">
        <f>I17*I18</f>
        <v/>
      </c>
      <c r="J19" s="23">
        <f>J17*J18</f>
        <v/>
      </c>
      <c r="K19" s="23">
        <f>K17*K18</f>
        <v/>
      </c>
      <c r="L19" s="23">
        <f>L17*L18</f>
        <v/>
      </c>
    </row>
    <row r="20">
      <c r="D20" s="8" t="n"/>
      <c r="E20" s="8" t="n"/>
      <c r="F20" s="8" t="n"/>
      <c r="G20" s="9" t="n"/>
      <c r="H20" s="8" t="n"/>
      <c r="I20" s="8" t="n"/>
      <c r="J20" s="8" t="n"/>
      <c r="K20" s="8" t="n"/>
      <c r="L20" s="8" t="n"/>
    </row>
    <row r="21">
      <c r="A21" s="19" t="inlineStr">
        <is>
          <t>DEBT SUMMARY</t>
        </is>
      </c>
      <c r="B21" s="20" t="n"/>
      <c r="C21" s="20" t="n"/>
      <c r="D21" s="20" t="n"/>
      <c r="E21" s="20" t="n"/>
      <c r="F21" s="20" t="n"/>
      <c r="G21" s="36" t="n"/>
      <c r="H21" s="20" t="n"/>
      <c r="I21" s="20" t="n"/>
      <c r="J21" s="20" t="n"/>
      <c r="K21" s="20" t="n"/>
      <c r="L21" s="20" t="n"/>
    </row>
    <row r="22">
      <c r="A22" s="33" t="inlineStr">
        <is>
          <t>Total Debt Outstanding</t>
        </is>
      </c>
      <c r="B22" s="14" t="inlineStr">
        <is>
          <t>RMB mn</t>
        </is>
      </c>
      <c r="D22" s="34" t="n"/>
      <c r="E22" s="34" t="n"/>
      <c r="F22" s="34" t="n"/>
      <c r="G22" s="35" t="n"/>
      <c r="H22" s="34">
        <f>H9+H17</f>
        <v/>
      </c>
      <c r="I22" s="34">
        <f>I9+I17</f>
        <v/>
      </c>
      <c r="J22" s="34">
        <f>J9+J17</f>
        <v/>
      </c>
      <c r="K22" s="34">
        <f>K9+K17</f>
        <v/>
      </c>
      <c r="L22" s="34">
        <f>L9+L17</f>
        <v/>
      </c>
    </row>
    <row r="23">
      <c r="A23" s="33" t="inlineStr">
        <is>
          <t>Total Interest Expense</t>
        </is>
      </c>
      <c r="B23" s="14" t="inlineStr">
        <is>
          <t>RMB mn</t>
        </is>
      </c>
      <c r="D23" s="37" t="n"/>
      <c r="E23" s="37" t="n"/>
      <c r="F23" s="37" t="n"/>
      <c r="G23" s="38" t="n"/>
      <c r="H23" s="37">
        <f>H11+H19</f>
        <v/>
      </c>
      <c r="I23" s="37">
        <f>I11+I19</f>
        <v/>
      </c>
      <c r="J23" s="37">
        <f>J11+J19</f>
        <v/>
      </c>
      <c r="K23" s="37">
        <f>K11+K19</f>
        <v/>
      </c>
      <c r="L23" s="37">
        <f>L11+L19</f>
        <v/>
      </c>
    </row>
    <row r="24">
      <c r="A24" s="1" t="inlineStr">
        <is>
          <t>Total Drawdown</t>
        </is>
      </c>
      <c r="B24" s="14" t="inlineStr">
        <is>
          <t>RMB mn</t>
        </is>
      </c>
      <c r="D24" s="24" t="n"/>
      <c r="E24" s="24" t="n"/>
      <c r="F24" s="24" t="n"/>
      <c r="G24" s="25" t="n"/>
      <c r="H24" s="26">
        <f>H7+H15</f>
        <v/>
      </c>
      <c r="I24" s="26">
        <f>I7+I15</f>
        <v/>
      </c>
      <c r="J24" s="26">
        <f>J7+J15</f>
        <v/>
      </c>
      <c r="K24" s="26">
        <f>K7+K15</f>
        <v/>
      </c>
      <c r="L24" s="26">
        <f>L7+L15</f>
        <v/>
      </c>
    </row>
    <row r="25">
      <c r="A25" s="1" t="inlineStr">
        <is>
          <t>Total Repayment</t>
        </is>
      </c>
      <c r="B25" s="14" t="inlineStr">
        <is>
          <t>RMB mn</t>
        </is>
      </c>
      <c r="D25" s="21" t="n"/>
      <c r="E25" s="21" t="n"/>
      <c r="F25" s="21" t="n"/>
      <c r="G25" s="22" t="n"/>
      <c r="H25" s="23">
        <f>H8+H16</f>
        <v/>
      </c>
      <c r="I25" s="23">
        <f>I8+I16</f>
        <v/>
      </c>
      <c r="J25" s="23">
        <f>J8+J16</f>
        <v/>
      </c>
      <c r="K25" s="23">
        <f>K8+K16</f>
        <v/>
      </c>
      <c r="L25" s="23">
        <f>L8+L16</f>
        <v/>
      </c>
    </row>
    <row r="26">
      <c r="D26" s="8" t="n"/>
      <c r="E26" s="8" t="n"/>
      <c r="F26" s="8" t="n"/>
      <c r="G26" s="9" t="n"/>
      <c r="H26" s="8" t="n"/>
      <c r="I26" s="8" t="n"/>
      <c r="J26" s="8" t="n"/>
      <c r="K26" s="8" t="n"/>
      <c r="L26" s="8" t="n"/>
    </row>
    <row r="27">
      <c r="A27" s="19" t="inlineStr">
        <is>
          <t>CAPITAL EXPENDITURES</t>
        </is>
      </c>
      <c r="B27" s="20" t="n"/>
      <c r="C27" s="20" t="n"/>
      <c r="D27" s="20" t="n"/>
      <c r="E27" s="20" t="n"/>
      <c r="F27" s="20" t="n"/>
      <c r="G27" s="36" t="n"/>
      <c r="H27" s="20" t="n"/>
      <c r="I27" s="20" t="n"/>
      <c r="J27" s="20" t="n"/>
      <c r="K27" s="20" t="n"/>
      <c r="L27" s="20" t="n"/>
    </row>
    <row r="28">
      <c r="A28" s="1" t="inlineStr">
        <is>
          <t>Maintenance CapEx</t>
        </is>
      </c>
      <c r="B28" s="14" t="inlineStr">
        <is>
          <t>RMB mn</t>
        </is>
      </c>
      <c r="D28" s="24" t="n"/>
      <c r="E28" s="24" t="n"/>
      <c r="F28" s="24" t="n"/>
      <c r="G28" s="25" t="n"/>
      <c r="H28" s="26" t="n"/>
      <c r="I28" s="26" t="n"/>
      <c r="J28" s="26" t="n"/>
      <c r="K28" s="26" t="n"/>
      <c r="L28" s="26" t="n"/>
    </row>
    <row r="29">
      <c r="A29" s="1" t="inlineStr">
        <is>
          <t>Growth CapEx</t>
        </is>
      </c>
      <c r="B29" s="14" t="inlineStr">
        <is>
          <t>RMB mn</t>
        </is>
      </c>
      <c r="D29" s="21" t="n"/>
      <c r="E29" s="21" t="n"/>
      <c r="F29" s="21" t="n"/>
      <c r="G29" s="22" t="n"/>
      <c r="H29" s="23" t="n"/>
      <c r="I29" s="23" t="n"/>
      <c r="J29" s="23" t="n"/>
      <c r="K29" s="23" t="n"/>
      <c r="L29" s="23" t="n"/>
    </row>
    <row r="30">
      <c r="A30" s="33" t="inlineStr">
        <is>
          <t>Total CapEx</t>
        </is>
      </c>
      <c r="B30" s="14" t="inlineStr">
        <is>
          <t>RMB mn</t>
        </is>
      </c>
      <c r="D30" s="34" t="n"/>
      <c r="E30" s="34" t="n"/>
      <c r="F30" s="34" t="n"/>
      <c r="G30" s="35" t="n"/>
      <c r="H30" s="34">
        <f>H28+H29</f>
        <v/>
      </c>
      <c r="I30" s="34">
        <f>I28+I29</f>
        <v/>
      </c>
      <c r="J30" s="34">
        <f>J28+J29</f>
        <v/>
      </c>
      <c r="K30" s="34">
        <f>K28+K29</f>
        <v/>
      </c>
      <c r="L30" s="34">
        <f>L28+L29</f>
        <v/>
      </c>
    </row>
    <row r="31">
      <c r="G31" s="18" t="n"/>
    </row>
    <row r="32">
      <c r="A32" s="19" t="inlineStr">
        <is>
          <t>PP&amp;E ROLL-FORWARD</t>
        </is>
      </c>
      <c r="B32" s="20" t="n"/>
      <c r="C32" s="20" t="n"/>
      <c r="D32" s="8" t="n"/>
      <c r="E32" s="8" t="n"/>
      <c r="F32" s="8" t="n"/>
      <c r="G32" s="9" t="n"/>
      <c r="H32" s="8" t="n"/>
      <c r="I32" s="8" t="n"/>
      <c r="J32" s="8" t="n"/>
      <c r="K32" s="8" t="n"/>
      <c r="L32" s="8" t="n"/>
    </row>
    <row r="33">
      <c r="A33" s="1" t="inlineStr">
        <is>
          <t>Beginning PP&amp;E</t>
        </is>
      </c>
      <c r="B33" s="14" t="inlineStr">
        <is>
          <t>RMB mn</t>
        </is>
      </c>
      <c r="D33" s="21" t="n"/>
      <c r="E33" s="21" t="n"/>
      <c r="F33" s="21" t="n"/>
      <c r="G33" s="22" t="n"/>
      <c r="H33" s="23">
        <f>G36</f>
        <v/>
      </c>
      <c r="I33" s="23">
        <f>H36</f>
        <v/>
      </c>
      <c r="J33" s="23">
        <f>I36</f>
        <v/>
      </c>
      <c r="K33" s="23">
        <f>J36</f>
        <v/>
      </c>
      <c r="L33" s="23">
        <f>K36</f>
        <v/>
      </c>
    </row>
    <row r="34">
      <c r="A34" s="1" t="inlineStr">
        <is>
          <t>(+) CapEx</t>
        </is>
      </c>
      <c r="B34" s="14" t="inlineStr">
        <is>
          <t>RMB mn</t>
        </is>
      </c>
      <c r="D34" s="24" t="n"/>
      <c r="E34" s="24" t="n"/>
      <c r="F34" s="24" t="n"/>
      <c r="G34" s="25" t="n"/>
      <c r="H34" s="26">
        <f>H30</f>
        <v/>
      </c>
      <c r="I34" s="26">
        <f>I30</f>
        <v/>
      </c>
      <c r="J34" s="26">
        <f>J30</f>
        <v/>
      </c>
      <c r="K34" s="26">
        <f>K30</f>
        <v/>
      </c>
      <c r="L34" s="26">
        <f>L30</f>
        <v/>
      </c>
    </row>
    <row r="35">
      <c r="A35" s="1" t="inlineStr">
        <is>
          <t>(-) Depreciation</t>
        </is>
      </c>
      <c r="B35" s="14" t="inlineStr">
        <is>
          <t>RMB mn</t>
        </is>
      </c>
      <c r="D35" s="21" t="n"/>
      <c r="E35" s="21" t="n"/>
      <c r="F35" s="21" t="n"/>
      <c r="G35" s="22" t="n"/>
      <c r="H35" s="23">
        <f>H33*'Key Assumptions'!H54</f>
        <v/>
      </c>
      <c r="I35" s="23">
        <f>I33*'Key Assumptions'!I54</f>
        <v/>
      </c>
      <c r="J35" s="23">
        <f>J33*'Key Assumptions'!J54</f>
        <v/>
      </c>
      <c r="K35" s="23">
        <f>K33*'Key Assumptions'!K54</f>
        <v/>
      </c>
      <c r="L35" s="23">
        <f>L33*'Key Assumptions'!L54</f>
        <v/>
      </c>
    </row>
    <row r="36">
      <c r="A36" s="33" t="inlineStr">
        <is>
          <t>Ending PP&amp;E</t>
        </is>
      </c>
      <c r="B36" s="14" t="inlineStr">
        <is>
          <t>RMB mn</t>
        </is>
      </c>
      <c r="D36" s="34" t="n"/>
      <c r="E36" s="34" t="n"/>
      <c r="F36" s="34" t="n"/>
      <c r="G36" s="35" t="n"/>
      <c r="H36" s="34">
        <f>H33+H34-H35</f>
        <v/>
      </c>
      <c r="I36" s="34">
        <f>I33+I34-I35</f>
        <v/>
      </c>
      <c r="J36" s="34">
        <f>J33+J34-J35</f>
        <v/>
      </c>
      <c r="K36" s="34">
        <f>K33+K34-K35</f>
        <v/>
      </c>
      <c r="L36" s="34">
        <f>L33+L34-L35</f>
        <v/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Returns &amp; Sensitivity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3">
      <c r="D3" s="6" t="n">
        <v>2021</v>
      </c>
      <c r="E3" s="6" t="n">
        <v>2022</v>
      </c>
      <c r="F3" s="6" t="n">
        <v>2023</v>
      </c>
      <c r="G3" s="7" t="n">
        <v>2024</v>
      </c>
      <c r="H3" s="6" t="inlineStr">
        <is>
          <t>2025E</t>
        </is>
      </c>
      <c r="I3" s="6" t="inlineStr">
        <is>
          <t>2026E</t>
        </is>
      </c>
      <c r="J3" s="6" t="inlineStr">
        <is>
          <t>2027E</t>
        </is>
      </c>
      <c r="K3" s="6" t="inlineStr">
        <is>
          <t>2028E</t>
        </is>
      </c>
      <c r="L3" s="6" t="inlineStr">
        <is>
          <t>2029E</t>
        </is>
      </c>
    </row>
    <row r="4">
      <c r="D4" s="8" t="n"/>
      <c r="E4" s="8" t="n"/>
      <c r="F4" s="8" t="n"/>
      <c r="G4" s="9" t="n"/>
      <c r="H4" s="8" t="n"/>
      <c r="I4" s="8" t="n"/>
      <c r="J4" s="8" t="n"/>
      <c r="K4" s="8" t="n"/>
      <c r="L4" s="8" t="n"/>
    </row>
    <row r="5">
      <c r="A5" s="19" t="inlineStr">
        <is>
          <t>ENTRY ASSUMPTIONS</t>
        </is>
      </c>
      <c r="B5" s="20" t="n"/>
      <c r="C5" s="20" t="n"/>
      <c r="D5" s="20" t="n"/>
      <c r="E5" s="20" t="n"/>
      <c r="F5" s="20" t="n"/>
      <c r="G5" s="36" t="n"/>
      <c r="H5" s="20" t="n"/>
      <c r="I5" s="20" t="n"/>
      <c r="J5" s="20" t="n"/>
      <c r="K5" s="20" t="n"/>
      <c r="L5" s="20" t="n"/>
    </row>
    <row r="6">
      <c r="A6" s="1" t="inlineStr">
        <is>
          <t>Entry Revenue</t>
        </is>
      </c>
      <c r="B6" s="14" t="inlineStr">
        <is>
          <t>RMB mn</t>
        </is>
      </c>
      <c r="D6" s="24" t="n"/>
      <c r="E6" s="24" t="n"/>
      <c r="F6" s="24" t="n"/>
      <c r="G6" s="25" t="n"/>
      <c r="H6" s="26" t="n"/>
      <c r="I6" s="26" t="n"/>
      <c r="J6" s="26" t="n"/>
      <c r="K6" s="26" t="n"/>
      <c r="L6" s="26" t="n"/>
    </row>
    <row r="7">
      <c r="A7" s="1" t="inlineStr">
        <is>
          <t>Entry Net Income</t>
        </is>
      </c>
      <c r="B7" s="14" t="inlineStr">
        <is>
          <t>RMB mn</t>
        </is>
      </c>
      <c r="D7" s="21" t="n"/>
      <c r="E7" s="21" t="n"/>
      <c r="F7" s="21" t="n"/>
      <c r="G7" s="22" t="n"/>
      <c r="H7" s="23" t="n"/>
      <c r="I7" s="23" t="n"/>
      <c r="J7" s="23" t="n"/>
      <c r="K7" s="23" t="n"/>
      <c r="L7" s="23" t="n"/>
    </row>
    <row r="8">
      <c r="A8" s="1" t="inlineStr">
        <is>
          <t>Entry P/S Multiple</t>
        </is>
      </c>
      <c r="B8" s="14" t="inlineStr">
        <is>
          <t>x</t>
        </is>
      </c>
      <c r="D8" s="45" t="n"/>
      <c r="E8" s="45" t="n"/>
      <c r="F8" s="45" t="n"/>
      <c r="G8" s="46" t="n"/>
      <c r="H8" s="47" t="n"/>
      <c r="I8" s="47" t="n"/>
      <c r="J8" s="47" t="n"/>
      <c r="K8" s="47" t="n"/>
      <c r="L8" s="47" t="n"/>
    </row>
    <row r="9">
      <c r="A9" s="1" t="inlineStr">
        <is>
          <t>Entry P/E Multiple</t>
        </is>
      </c>
      <c r="B9" s="14" t="inlineStr">
        <is>
          <t>x</t>
        </is>
      </c>
      <c r="D9" s="15" t="n"/>
      <c r="E9" s="15" t="n"/>
      <c r="F9" s="15" t="n"/>
      <c r="G9" s="16" t="n"/>
      <c r="H9" s="17" t="n"/>
      <c r="I9" s="17" t="n"/>
      <c r="J9" s="17" t="n"/>
      <c r="K9" s="17" t="n"/>
      <c r="L9" s="17" t="n"/>
    </row>
    <row r="10">
      <c r="A10" s="1" t="inlineStr">
        <is>
          <t>Entry Enterprise Value</t>
        </is>
      </c>
      <c r="B10" s="14" t="inlineStr">
        <is>
          <t>RMB mn</t>
        </is>
      </c>
      <c r="D10" s="24" t="n"/>
      <c r="E10" s="24" t="n"/>
      <c r="F10" s="24" t="n"/>
      <c r="G10" s="25" t="n"/>
      <c r="H10" s="26" t="n"/>
      <c r="I10" s="26" t="n"/>
      <c r="J10" s="26" t="n"/>
      <c r="K10" s="26" t="n"/>
      <c r="L10" s="26" t="n"/>
    </row>
    <row r="11">
      <c r="A11" s="1" t="inlineStr">
        <is>
          <t>Entry Net Debt</t>
        </is>
      </c>
      <c r="B11" s="14" t="inlineStr">
        <is>
          <t>RMB mn</t>
        </is>
      </c>
      <c r="D11" s="21" t="n"/>
      <c r="E11" s="21" t="n"/>
      <c r="F11" s="21" t="n"/>
      <c r="G11" s="22" t="n"/>
      <c r="H11" s="23" t="n"/>
      <c r="I11" s="23" t="n"/>
      <c r="J11" s="23" t="n"/>
      <c r="K11" s="23" t="n"/>
      <c r="L11" s="23" t="n"/>
    </row>
    <row r="12">
      <c r="A12" s="1" t="inlineStr">
        <is>
          <t>Entry Equity Value</t>
        </is>
      </c>
      <c r="B12" s="14" t="inlineStr">
        <is>
          <t>RMB mn</t>
        </is>
      </c>
      <c r="D12" s="24" t="n"/>
      <c r="E12" s="24" t="n"/>
      <c r="F12" s="24" t="n"/>
      <c r="G12" s="25" t="n"/>
      <c r="H12" s="26" t="n"/>
      <c r="I12" s="26" t="n"/>
      <c r="J12" s="26" t="n"/>
      <c r="K12" s="26" t="n"/>
      <c r="L12" s="26" t="n"/>
    </row>
    <row r="13">
      <c r="G13" s="18" t="n"/>
    </row>
    <row r="14">
      <c r="A14" s="19" t="inlineStr">
        <is>
          <t>EXIT — P/S METHOD</t>
        </is>
      </c>
      <c r="B14" s="20" t="n"/>
      <c r="C14" s="20" t="n"/>
      <c r="D14" s="8" t="n"/>
      <c r="E14" s="8" t="n"/>
      <c r="F14" s="8" t="n"/>
      <c r="G14" s="9" t="n"/>
      <c r="H14" s="8" t="n"/>
      <c r="I14" s="8" t="n"/>
      <c r="J14" s="8" t="n"/>
      <c r="K14" s="8" t="n"/>
      <c r="L14" s="8" t="n"/>
    </row>
    <row r="15">
      <c r="A15" s="1" t="inlineStr">
        <is>
          <t>Exit Year Revenue</t>
        </is>
      </c>
      <c r="B15" s="14" t="inlineStr">
        <is>
          <t>RMB mn</t>
        </is>
      </c>
      <c r="D15" s="21" t="n"/>
      <c r="E15" s="21" t="n"/>
      <c r="F15" s="21" t="n"/>
      <c r="G15" s="22" t="n"/>
      <c r="H15" s="23" t="n"/>
      <c r="I15" s="23" t="n"/>
      <c r="J15" s="23" t="n"/>
      <c r="K15" s="23" t="n"/>
      <c r="L15" s="23" t="n"/>
    </row>
    <row r="16">
      <c r="A16" s="1" t="inlineStr">
        <is>
          <t>Exit P/S Multiple</t>
        </is>
      </c>
      <c r="B16" s="14" t="inlineStr">
        <is>
          <t>x</t>
        </is>
      </c>
      <c r="D16" s="45" t="n"/>
      <c r="E16" s="45" t="n"/>
      <c r="F16" s="45" t="n"/>
      <c r="G16" s="46" t="n"/>
      <c r="H16" s="47" t="n"/>
      <c r="I16" s="47" t="n"/>
      <c r="J16" s="47" t="n"/>
      <c r="K16" s="47" t="n"/>
      <c r="L16" s="47" t="n"/>
    </row>
    <row r="17">
      <c r="A17" s="1" t="inlineStr">
        <is>
          <t>Exit Enterprise Value</t>
        </is>
      </c>
      <c r="B17" s="14" t="inlineStr">
        <is>
          <t>RMB mn</t>
        </is>
      </c>
      <c r="D17" s="21" t="n"/>
      <c r="E17" s="21" t="n"/>
      <c r="F17" s="21" t="n"/>
      <c r="G17" s="22" t="n"/>
      <c r="H17" s="23">
        <f>H15*H16</f>
        <v/>
      </c>
      <c r="I17" s="23">
        <f>I15*I16</f>
        <v/>
      </c>
      <c r="J17" s="23">
        <f>J15*J16</f>
        <v/>
      </c>
      <c r="K17" s="23">
        <f>K15*K16</f>
        <v/>
      </c>
      <c r="L17" s="23">
        <f>L15*L16</f>
        <v/>
      </c>
    </row>
    <row r="18">
      <c r="A18" s="1" t="inlineStr">
        <is>
          <t>Exit Net Debt</t>
        </is>
      </c>
      <c r="B18" s="14" t="inlineStr">
        <is>
          <t>RMB mn</t>
        </is>
      </c>
      <c r="D18" s="24" t="n"/>
      <c r="E18" s="24" t="n"/>
      <c r="F18" s="24" t="n"/>
      <c r="G18" s="25" t="n"/>
      <c r="H18" s="26" t="n"/>
      <c r="I18" s="26" t="n"/>
      <c r="J18" s="26" t="n"/>
      <c r="K18" s="26" t="n"/>
      <c r="L18" s="26" t="n"/>
    </row>
    <row r="19">
      <c r="A19" s="33" t="inlineStr">
        <is>
          <t>Exit Equity Value</t>
        </is>
      </c>
      <c r="B19" s="14" t="inlineStr">
        <is>
          <t>RMB mn</t>
        </is>
      </c>
      <c r="D19" s="37" t="n"/>
      <c r="E19" s="37" t="n"/>
      <c r="F19" s="37" t="n"/>
      <c r="G19" s="38" t="n"/>
      <c r="H19" s="37">
        <f>H17-H18</f>
        <v/>
      </c>
      <c r="I19" s="37">
        <f>I17-I18</f>
        <v/>
      </c>
      <c r="J19" s="37">
        <f>J17-J18</f>
        <v/>
      </c>
      <c r="K19" s="37">
        <f>K17-K18</f>
        <v/>
      </c>
      <c r="L19" s="37">
        <f>L17-L18</f>
        <v/>
      </c>
    </row>
    <row r="20">
      <c r="A20" s="1" t="inlineStr">
        <is>
          <t>MOIC (P/S)</t>
        </is>
      </c>
      <c r="B20" s="14" t="inlineStr">
        <is>
          <t>x</t>
        </is>
      </c>
      <c r="D20" s="45" t="n"/>
      <c r="E20" s="45" t="n"/>
      <c r="F20" s="45" t="n"/>
      <c r="G20" s="46" t="n"/>
      <c r="H20" s="47">
        <f>IF(H12=0,"",H19/H12)</f>
        <v/>
      </c>
      <c r="I20" s="47">
        <f>IF(I12=0,"",I19/I12)</f>
        <v/>
      </c>
      <c r="J20" s="47">
        <f>IF(J12=0,"",J19/J12)</f>
        <v/>
      </c>
      <c r="K20" s="47">
        <f>IF(K12=0,"",K19/K12)</f>
        <v/>
      </c>
      <c r="L20" s="47">
        <f>IF(L12=0,"",L19/L12)</f>
        <v/>
      </c>
    </row>
    <row r="21">
      <c r="A21" s="1" t="inlineStr">
        <is>
          <t>IRR (P/S)</t>
        </is>
      </c>
      <c r="B21" s="14" t="inlineStr">
        <is>
          <t>%</t>
        </is>
      </c>
      <c r="D21" s="27" t="n"/>
      <c r="E21" s="27" t="n"/>
      <c r="F21" s="27" t="n"/>
      <c r="G21" s="28" t="n"/>
      <c r="H21" s="29" t="n"/>
      <c r="I21" s="29" t="n"/>
      <c r="J21" s="29" t="n"/>
      <c r="K21" s="29" t="n"/>
      <c r="L21" s="29" t="n"/>
    </row>
    <row r="22">
      <c r="D22" s="8" t="n"/>
      <c r="E22" s="8" t="n"/>
      <c r="F22" s="8" t="n"/>
      <c r="G22" s="9" t="n"/>
      <c r="H22" s="8" t="n"/>
      <c r="I22" s="8" t="n"/>
      <c r="J22" s="8" t="n"/>
      <c r="K22" s="8" t="n"/>
      <c r="L22" s="8" t="n"/>
    </row>
    <row r="23">
      <c r="A23" s="19" t="inlineStr">
        <is>
          <t>EXIT — P/E METHOD</t>
        </is>
      </c>
      <c r="B23" s="20" t="n"/>
      <c r="C23" s="20" t="n"/>
      <c r="D23" s="20" t="n"/>
      <c r="E23" s="20" t="n"/>
      <c r="F23" s="20" t="n"/>
      <c r="G23" s="36" t="n"/>
      <c r="H23" s="20" t="n"/>
      <c r="I23" s="20" t="n"/>
      <c r="J23" s="20" t="n"/>
      <c r="K23" s="20" t="n"/>
      <c r="L23" s="20" t="n"/>
    </row>
    <row r="24">
      <c r="A24" s="1" t="inlineStr">
        <is>
          <t>Exit Year Net Income</t>
        </is>
      </c>
      <c r="B24" s="14" t="inlineStr">
        <is>
          <t>RMB mn</t>
        </is>
      </c>
      <c r="D24" s="24" t="n"/>
      <c r="E24" s="24" t="n"/>
      <c r="F24" s="24" t="n"/>
      <c r="G24" s="25" t="n"/>
      <c r="H24" s="26" t="n"/>
      <c r="I24" s="26" t="n"/>
      <c r="J24" s="26" t="n"/>
      <c r="K24" s="26" t="n"/>
      <c r="L24" s="26" t="n"/>
    </row>
    <row r="25">
      <c r="A25" s="1" t="inlineStr">
        <is>
          <t>Exit P/E Multiple</t>
        </is>
      </c>
      <c r="B25" s="14" t="inlineStr">
        <is>
          <t>x</t>
        </is>
      </c>
      <c r="D25" s="15" t="n"/>
      <c r="E25" s="15" t="n"/>
      <c r="F25" s="15" t="n"/>
      <c r="G25" s="16" t="n"/>
      <c r="H25" s="17" t="n"/>
      <c r="I25" s="17" t="n"/>
      <c r="J25" s="17" t="n"/>
      <c r="K25" s="17" t="n"/>
      <c r="L25" s="17" t="n"/>
    </row>
    <row r="26">
      <c r="A26" s="33" t="inlineStr">
        <is>
          <t>Exit Equity Value</t>
        </is>
      </c>
      <c r="B26" s="14" t="inlineStr">
        <is>
          <t>RMB mn</t>
        </is>
      </c>
      <c r="D26" s="34" t="n"/>
      <c r="E26" s="34" t="n"/>
      <c r="F26" s="34" t="n"/>
      <c r="G26" s="35" t="n"/>
      <c r="H26" s="34">
        <f>H24*H25</f>
        <v/>
      </c>
      <c r="I26" s="34">
        <f>I24*I25</f>
        <v/>
      </c>
      <c r="J26" s="34">
        <f>J24*J25</f>
        <v/>
      </c>
      <c r="K26" s="34">
        <f>K24*K25</f>
        <v/>
      </c>
      <c r="L26" s="34">
        <f>L24*L25</f>
        <v/>
      </c>
    </row>
    <row r="27">
      <c r="A27" s="1" t="inlineStr">
        <is>
          <t>MOIC (P/E)</t>
        </is>
      </c>
      <c r="B27" s="14" t="inlineStr">
        <is>
          <t>x</t>
        </is>
      </c>
      <c r="D27" s="15" t="n"/>
      <c r="E27" s="15" t="n"/>
      <c r="F27" s="15" t="n"/>
      <c r="G27" s="16" t="n"/>
      <c r="H27" s="17">
        <f>IF(H12=0,"",H26/H12)</f>
        <v/>
      </c>
      <c r="I27" s="17">
        <f>IF(I12=0,"",I26/I12)</f>
        <v/>
      </c>
      <c r="J27" s="17">
        <f>IF(J12=0,"",J26/J12)</f>
        <v/>
      </c>
      <c r="K27" s="17">
        <f>IF(K12=0,"",K26/K12)</f>
        <v/>
      </c>
      <c r="L27" s="17">
        <f>IF(L12=0,"",L26/L12)</f>
        <v/>
      </c>
    </row>
    <row r="28">
      <c r="A28" s="1" t="inlineStr">
        <is>
          <t>IRR (P/E)</t>
        </is>
      </c>
      <c r="B28" s="14" t="inlineStr">
        <is>
          <t>%</t>
        </is>
      </c>
      <c r="D28" s="30" t="n"/>
      <c r="E28" s="30" t="n"/>
      <c r="F28" s="30" t="n"/>
      <c r="G28" s="31" t="n"/>
      <c r="H28" s="32" t="n"/>
      <c r="I28" s="32" t="n"/>
      <c r="J28" s="32" t="n"/>
      <c r="K28" s="32" t="n"/>
      <c r="L28" s="32" t="n"/>
    </row>
    <row r="29">
      <c r="G29" s="18" t="n"/>
    </row>
    <row r="30">
      <c r="D30" s="8" t="n"/>
      <c r="E30" s="8" t="n"/>
      <c r="F30" s="8" t="n"/>
      <c r="G30" s="9" t="n"/>
      <c r="H30" s="8" t="n"/>
      <c r="I30" s="8" t="n"/>
      <c r="J30" s="8" t="n"/>
      <c r="K30" s="8" t="n"/>
      <c r="L30" s="8" t="n"/>
    </row>
    <row r="31">
      <c r="A31" s="19" t="inlineStr">
        <is>
          <t>SENSITIVITY: IRR vs ENTRY x EXIT P/E</t>
        </is>
      </c>
      <c r="B31" s="20" t="n"/>
      <c r="C31" s="20" t="n"/>
      <c r="D31" s="20" t="n"/>
      <c r="E31" s="20" t="n"/>
      <c r="F31" s="20" t="n"/>
      <c r="G31" s="36" t="n"/>
      <c r="H31" s="20" t="n"/>
      <c r="I31" s="20" t="n"/>
      <c r="J31" s="20" t="n"/>
      <c r="K31" s="20" t="n"/>
      <c r="L31" s="20" t="n"/>
    </row>
    <row r="32">
      <c r="D32" s="11" t="n"/>
      <c r="E32" s="11" t="n"/>
      <c r="F32" s="11" t="n"/>
      <c r="G32" s="12" t="n"/>
      <c r="H32" s="13" t="n"/>
      <c r="I32" s="13" t="n"/>
      <c r="J32" s="13" t="n"/>
      <c r="K32" s="13" t="n"/>
      <c r="L32" s="13" t="n"/>
    </row>
    <row r="33">
      <c r="G33" s="18" t="n"/>
    </row>
    <row r="34">
      <c r="D34" s="8" t="n"/>
      <c r="E34" s="8" t="n"/>
      <c r="F34" s="8" t="n"/>
      <c r="G34" s="9" t="n"/>
      <c r="H34" s="8" t="n"/>
      <c r="I34" s="8" t="n"/>
      <c r="J34" s="8" t="n"/>
      <c r="K34" s="8" t="n"/>
      <c r="L34" s="8" t="n"/>
    </row>
    <row r="35">
      <c r="G35" s="18" t="n"/>
    </row>
    <row r="36">
      <c r="D36" s="8" t="n"/>
      <c r="E36" s="8" t="n"/>
      <c r="F36" s="8" t="n"/>
      <c r="G36" s="9" t="n"/>
      <c r="H36" s="8" t="n"/>
      <c r="I36" s="8" t="n"/>
      <c r="J36" s="8" t="n"/>
      <c r="K36" s="8" t="n"/>
      <c r="L36" s="8" t="n"/>
    </row>
    <row r="37">
      <c r="G37" s="18" t="n"/>
    </row>
    <row r="38">
      <c r="D38" s="8" t="n"/>
      <c r="E38" s="8" t="n"/>
      <c r="F38" s="8" t="n"/>
      <c r="G38" s="9" t="n"/>
      <c r="H38" s="8" t="n"/>
      <c r="I38" s="8" t="n"/>
      <c r="J38" s="8" t="n"/>
      <c r="K38" s="8" t="n"/>
      <c r="L38" s="8" t="n"/>
    </row>
    <row r="39">
      <c r="G39" s="18" t="n"/>
    </row>
    <row r="40">
      <c r="D40" s="8" t="n"/>
      <c r="E40" s="8" t="n"/>
      <c r="F40" s="8" t="n"/>
      <c r="G40" s="9" t="n"/>
      <c r="H40" s="8" t="n"/>
      <c r="I40" s="8" t="n"/>
      <c r="J40" s="8" t="n"/>
      <c r="K40" s="8" t="n"/>
      <c r="L40" s="8" t="n"/>
    </row>
    <row r="41">
      <c r="G41" s="18" t="n"/>
    </row>
    <row r="42">
      <c r="D42" s="8" t="n"/>
      <c r="E42" s="8" t="n"/>
      <c r="F42" s="8" t="n"/>
      <c r="G42" s="9" t="n"/>
      <c r="H42" s="8" t="n"/>
      <c r="I42" s="8" t="n"/>
      <c r="J42" s="8" t="n"/>
      <c r="K42" s="8" t="n"/>
      <c r="L42" s="8" t="n"/>
    </row>
    <row r="43">
      <c r="A43" s="19" t="inlineStr">
        <is>
          <t>SENSITIVITY: MOIC vs REV CAGR x EXIT YEAR</t>
        </is>
      </c>
      <c r="B43" s="20" t="n"/>
      <c r="C43" s="20" t="n"/>
      <c r="D43" s="20" t="n"/>
      <c r="E43" s="20" t="n"/>
      <c r="F43" s="20" t="n"/>
      <c r="G43" s="36" t="n"/>
      <c r="H43" s="20" t="n"/>
      <c r="I43" s="20" t="n"/>
      <c r="J43" s="20" t="n"/>
      <c r="K43" s="20" t="n"/>
      <c r="L43" s="20" t="n"/>
    </row>
    <row r="44">
      <c r="D44" s="11" t="n"/>
      <c r="E44" s="11" t="n"/>
      <c r="F44" s="11" t="n"/>
      <c r="G44" s="12" t="n"/>
      <c r="H44" s="13" t="n"/>
      <c r="I44" s="13" t="n"/>
      <c r="J44" s="13" t="n"/>
      <c r="K44" s="13" t="n"/>
      <c r="L44" s="13" t="n"/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DCF Valuation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3">
      <c r="D3" s="6" t="n">
        <v>2021</v>
      </c>
      <c r="E3" s="6" t="n">
        <v>2022</v>
      </c>
      <c r="F3" s="6" t="n">
        <v>2023</v>
      </c>
      <c r="G3" s="7" t="n">
        <v>2024</v>
      </c>
      <c r="H3" s="6" t="inlineStr">
        <is>
          <t>2025E</t>
        </is>
      </c>
      <c r="I3" s="6" t="inlineStr">
        <is>
          <t>2026E</t>
        </is>
      </c>
      <c r="J3" s="6" t="inlineStr">
        <is>
          <t>2027E</t>
        </is>
      </c>
      <c r="K3" s="6" t="inlineStr">
        <is>
          <t>2028E</t>
        </is>
      </c>
      <c r="L3" s="6" t="inlineStr">
        <is>
          <t>2029E</t>
        </is>
      </c>
    </row>
    <row r="4">
      <c r="D4" s="8" t="n"/>
      <c r="E4" s="8" t="n"/>
      <c r="F4" s="8" t="n"/>
      <c r="G4" s="9" t="n"/>
      <c r="H4" s="8" t="n"/>
      <c r="I4" s="8" t="n"/>
      <c r="J4" s="8" t="n"/>
      <c r="K4" s="8" t="n"/>
      <c r="L4" s="8" t="n"/>
    </row>
    <row r="5">
      <c r="A5" s="19" t="inlineStr">
        <is>
          <t>WACC CALCULATION</t>
        </is>
      </c>
      <c r="B5" s="20" t="n"/>
      <c r="C5" s="20" t="n"/>
      <c r="D5" s="20" t="n"/>
      <c r="E5" s="20" t="n"/>
      <c r="F5" s="20" t="n"/>
      <c r="G5" s="36" t="n"/>
      <c r="H5" s="20" t="n"/>
      <c r="I5" s="20" t="n"/>
      <c r="J5" s="20" t="n"/>
      <c r="K5" s="20" t="n"/>
      <c r="L5" s="20" t="n"/>
    </row>
    <row r="6">
      <c r="A6" s="1" t="inlineStr">
        <is>
          <t>Risk-Free Rate</t>
        </is>
      </c>
      <c r="B6" s="14" t="inlineStr">
        <is>
          <t>%</t>
        </is>
      </c>
      <c r="D6" s="30" t="n"/>
      <c r="E6" s="30" t="n"/>
      <c r="F6" s="30" t="n"/>
      <c r="G6" s="31" t="n"/>
      <c r="H6" s="32" t="n"/>
      <c r="I6" s="32" t="n"/>
      <c r="J6" s="32" t="n"/>
      <c r="K6" s="32" t="n"/>
      <c r="L6" s="32" t="n"/>
    </row>
    <row r="7">
      <c r="A7" s="1" t="inlineStr">
        <is>
          <t>Beta</t>
        </is>
      </c>
      <c r="B7" s="14" t="inlineStr">
        <is>
          <t>x</t>
        </is>
      </c>
      <c r="D7" s="15" t="n"/>
      <c r="E7" s="15" t="n"/>
      <c r="F7" s="15" t="n"/>
      <c r="G7" s="16" t="n"/>
      <c r="H7" s="17" t="n"/>
      <c r="I7" s="17" t="n"/>
      <c r="J7" s="17" t="n"/>
      <c r="K7" s="17" t="n"/>
      <c r="L7" s="17" t="n"/>
    </row>
    <row r="8">
      <c r="A8" s="1" t="inlineStr">
        <is>
          <t>Market Risk Premium</t>
        </is>
      </c>
      <c r="B8" s="14" t="inlineStr">
        <is>
          <t>%</t>
        </is>
      </c>
      <c r="D8" s="30" t="n"/>
      <c r="E8" s="30" t="n"/>
      <c r="F8" s="30" t="n"/>
      <c r="G8" s="31" t="n"/>
      <c r="H8" s="32" t="n"/>
      <c r="I8" s="32" t="n"/>
      <c r="J8" s="32" t="n"/>
      <c r="K8" s="32" t="n"/>
      <c r="L8" s="32" t="n"/>
    </row>
    <row r="9">
      <c r="A9" s="1" t="inlineStr">
        <is>
          <t>Cost of Equity</t>
        </is>
      </c>
      <c r="B9" s="14" t="inlineStr">
        <is>
          <t>%</t>
        </is>
      </c>
      <c r="D9" s="27" t="n"/>
      <c r="E9" s="27" t="n"/>
      <c r="F9" s="27" t="n"/>
      <c r="G9" s="28" t="n"/>
      <c r="H9" s="29">
        <f>H6+H7*H8</f>
        <v/>
      </c>
      <c r="I9" s="29" t="n"/>
      <c r="J9" s="29" t="n"/>
      <c r="K9" s="29" t="n"/>
      <c r="L9" s="29" t="n"/>
    </row>
    <row r="10">
      <c r="A10" s="1" t="inlineStr">
        <is>
          <t>Pre-tax Cost of Debt</t>
        </is>
      </c>
      <c r="B10" s="14" t="inlineStr">
        <is>
          <t>%</t>
        </is>
      </c>
      <c r="D10" s="30" t="n"/>
      <c r="E10" s="30" t="n"/>
      <c r="F10" s="30" t="n"/>
      <c r="G10" s="31" t="n"/>
      <c r="H10" s="32" t="n"/>
      <c r="I10" s="32" t="n"/>
      <c r="J10" s="32" t="n"/>
      <c r="K10" s="32" t="n"/>
      <c r="L10" s="32" t="n"/>
    </row>
    <row r="11">
      <c r="A11" s="1" t="inlineStr">
        <is>
          <t>Tax Rate</t>
        </is>
      </c>
      <c r="B11" s="14" t="inlineStr">
        <is>
          <t>%</t>
        </is>
      </c>
      <c r="D11" s="27" t="n"/>
      <c r="E11" s="27" t="n"/>
      <c r="F11" s="27" t="n"/>
      <c r="G11" s="28" t="n"/>
      <c r="H11" s="29" t="n"/>
      <c r="I11" s="29" t="n"/>
      <c r="J11" s="29" t="n"/>
      <c r="K11" s="29" t="n"/>
      <c r="L11" s="29" t="n"/>
    </row>
    <row r="12">
      <c r="A12" s="1" t="inlineStr">
        <is>
          <t>Equity Weight (E/V)</t>
        </is>
      </c>
      <c r="B12" s="14" t="inlineStr">
        <is>
          <t>%</t>
        </is>
      </c>
      <c r="D12" s="30" t="n"/>
      <c r="E12" s="30" t="n"/>
      <c r="F12" s="30" t="n"/>
      <c r="G12" s="31" t="n"/>
      <c r="H12" s="32" t="n"/>
      <c r="I12" s="32" t="n"/>
      <c r="J12" s="32" t="n"/>
      <c r="K12" s="32" t="n"/>
      <c r="L12" s="32" t="n"/>
    </row>
    <row r="13">
      <c r="A13" s="1" t="inlineStr">
        <is>
          <t>Debt Weight (D/V)</t>
        </is>
      </c>
      <c r="B13" s="14" t="inlineStr">
        <is>
          <t>%</t>
        </is>
      </c>
      <c r="D13" s="27" t="n"/>
      <c r="E13" s="27" t="n"/>
      <c r="F13" s="27" t="n"/>
      <c r="G13" s="28" t="n"/>
      <c r="H13" s="29" t="n"/>
      <c r="I13" s="29" t="n"/>
      <c r="J13" s="29" t="n"/>
      <c r="K13" s="29" t="n"/>
      <c r="L13" s="29" t="n"/>
    </row>
    <row r="14">
      <c r="A14" s="1" t="inlineStr">
        <is>
          <t>WACC</t>
        </is>
      </c>
      <c r="B14" s="14" t="inlineStr">
        <is>
          <t>%</t>
        </is>
      </c>
      <c r="D14" s="30" t="n"/>
      <c r="E14" s="30" t="n"/>
      <c r="F14" s="30" t="n"/>
      <c r="G14" s="31" t="n"/>
      <c r="H14" s="32">
        <f>H12*H9+H13*H10*(1-H11)</f>
        <v/>
      </c>
      <c r="I14" s="32" t="n"/>
      <c r="J14" s="32" t="n"/>
      <c r="K14" s="32" t="n"/>
      <c r="L14" s="32" t="n"/>
    </row>
    <row r="15">
      <c r="G15" s="18" t="n"/>
    </row>
    <row r="16">
      <c r="A16" s="19" t="inlineStr">
        <is>
          <t>UNLEVERED FREE CASH FLOW</t>
        </is>
      </c>
      <c r="B16" s="20" t="n"/>
      <c r="C16" s="20" t="n"/>
      <c r="D16" s="8" t="n"/>
      <c r="E16" s="8" t="n"/>
      <c r="F16" s="8" t="n"/>
      <c r="G16" s="9" t="n"/>
      <c r="H16" s="8" t="n"/>
      <c r="I16" s="8" t="n"/>
      <c r="J16" s="8" t="n"/>
      <c r="K16" s="8" t="n"/>
      <c r="L16" s="8" t="n"/>
    </row>
    <row r="17">
      <c r="A17" s="1" t="inlineStr">
        <is>
          <t>EBIT</t>
        </is>
      </c>
      <c r="B17" s="14" t="inlineStr">
        <is>
          <t>RMB mn</t>
        </is>
      </c>
      <c r="D17" s="21" t="n"/>
      <c r="E17" s="21" t="n"/>
      <c r="F17" s="21" t="n"/>
      <c r="G17" s="22" t="n"/>
      <c r="H17" s="40">
        <f>'Income Statement'!H20</f>
        <v/>
      </c>
      <c r="I17" s="40">
        <f>'Income Statement'!I20</f>
        <v/>
      </c>
      <c r="J17" s="40">
        <f>'Income Statement'!J20</f>
        <v/>
      </c>
      <c r="K17" s="40">
        <f>'Income Statement'!K20</f>
        <v/>
      </c>
      <c r="L17" s="40">
        <f>'Income Statement'!L20</f>
        <v/>
      </c>
    </row>
    <row r="18">
      <c r="A18" s="1" t="inlineStr">
        <is>
          <t>Tax on EBIT</t>
        </is>
      </c>
      <c r="B18" s="14" t="inlineStr">
        <is>
          <t>RMB mn</t>
        </is>
      </c>
      <c r="D18" s="24" t="n"/>
      <c r="E18" s="24" t="n"/>
      <c r="F18" s="24" t="n"/>
      <c r="G18" s="25" t="n"/>
      <c r="H18" s="26">
        <f>H17*H11</f>
        <v/>
      </c>
      <c r="I18" s="26">
        <f>I17*H11</f>
        <v/>
      </c>
      <c r="J18" s="26">
        <f>J17*H11</f>
        <v/>
      </c>
      <c r="K18" s="26">
        <f>K17*H11</f>
        <v/>
      </c>
      <c r="L18" s="26">
        <f>L17*H11</f>
        <v/>
      </c>
    </row>
    <row r="19">
      <c r="A19" s="1" t="inlineStr">
        <is>
          <t>NOPAT</t>
        </is>
      </c>
      <c r="B19" s="14" t="inlineStr">
        <is>
          <t>RMB mn</t>
        </is>
      </c>
      <c r="D19" s="21" t="n"/>
      <c r="E19" s="21" t="n"/>
      <c r="F19" s="21" t="n"/>
      <c r="G19" s="22" t="n"/>
      <c r="H19" s="23">
        <f>H17-H18</f>
        <v/>
      </c>
      <c r="I19" s="23">
        <f>I17-I18</f>
        <v/>
      </c>
      <c r="J19" s="23">
        <f>J17-J18</f>
        <v/>
      </c>
      <c r="K19" s="23">
        <f>K17-K18</f>
        <v/>
      </c>
      <c r="L19" s="23">
        <f>L17-L18</f>
        <v/>
      </c>
    </row>
    <row r="20">
      <c r="A20" s="1" t="inlineStr">
        <is>
          <t>(+) D&amp;A</t>
        </is>
      </c>
      <c r="B20" s="14" t="inlineStr">
        <is>
          <t>RMB mn</t>
        </is>
      </c>
      <c r="D20" s="24" t="n"/>
      <c r="E20" s="24" t="n"/>
      <c r="F20" s="24" t="n"/>
      <c r="G20" s="25" t="n"/>
      <c r="H20" s="39">
        <f>'COGS &amp; OpEx'!H29</f>
        <v/>
      </c>
      <c r="I20" s="39">
        <f>'COGS &amp; OpEx'!I29</f>
        <v/>
      </c>
      <c r="J20" s="39">
        <f>'COGS &amp; OpEx'!J29</f>
        <v/>
      </c>
      <c r="K20" s="39">
        <f>'COGS &amp; OpEx'!K29</f>
        <v/>
      </c>
      <c r="L20" s="39">
        <f>'COGS &amp; OpEx'!L29</f>
        <v/>
      </c>
    </row>
    <row r="21">
      <c r="A21" s="1" t="inlineStr">
        <is>
          <t>(-) CapEx</t>
        </is>
      </c>
      <c r="B21" s="14" t="inlineStr">
        <is>
          <t>RMB mn</t>
        </is>
      </c>
      <c r="D21" s="21" t="n"/>
      <c r="E21" s="21" t="n"/>
      <c r="F21" s="21" t="n"/>
      <c r="G21" s="22" t="n"/>
      <c r="H21" s="40">
        <f>'Debt &amp; CapEx'!H30</f>
        <v/>
      </c>
      <c r="I21" s="40">
        <f>'Debt &amp; CapEx'!I30</f>
        <v/>
      </c>
      <c r="J21" s="40">
        <f>'Debt &amp; CapEx'!J30</f>
        <v/>
      </c>
      <c r="K21" s="40">
        <f>'Debt &amp; CapEx'!K30</f>
        <v/>
      </c>
      <c r="L21" s="40">
        <f>'Debt &amp; CapEx'!L30</f>
        <v/>
      </c>
    </row>
    <row r="22">
      <c r="A22" s="1" t="inlineStr">
        <is>
          <t>(-) Change in WC</t>
        </is>
      </c>
      <c r="B22" s="14" t="inlineStr">
        <is>
          <t>RMB mn</t>
        </is>
      </c>
      <c r="D22" s="24" t="n"/>
      <c r="E22" s="24" t="n"/>
      <c r="F22" s="24" t="n"/>
      <c r="G22" s="25" t="n"/>
      <c r="H22" s="39">
        <f>'Working Capital'!H22</f>
        <v/>
      </c>
      <c r="I22" s="39">
        <f>'Working Capital'!I22</f>
        <v/>
      </c>
      <c r="J22" s="39">
        <f>'Working Capital'!J22</f>
        <v/>
      </c>
      <c r="K22" s="39">
        <f>'Working Capital'!K22</f>
        <v/>
      </c>
      <c r="L22" s="39">
        <f>'Working Capital'!L22</f>
        <v/>
      </c>
    </row>
    <row r="23">
      <c r="G23" s="18" t="n"/>
    </row>
    <row r="24">
      <c r="A24" s="33" t="inlineStr">
        <is>
          <t>Unlevered FCF</t>
        </is>
      </c>
      <c r="B24" s="14" t="inlineStr">
        <is>
          <t>RMB mn</t>
        </is>
      </c>
      <c r="D24" s="34" t="n"/>
      <c r="E24" s="34" t="n"/>
      <c r="F24" s="34" t="n"/>
      <c r="G24" s="35" t="n"/>
      <c r="H24" s="34">
        <f>H19+H20-H21-H22</f>
        <v/>
      </c>
      <c r="I24" s="34">
        <f>I19+I20-I21-I22</f>
        <v/>
      </c>
      <c r="J24" s="34">
        <f>J19+J20-J21-J22</f>
        <v/>
      </c>
      <c r="K24" s="34">
        <f>K19+K20-K21-K22</f>
        <v/>
      </c>
      <c r="L24" s="34">
        <f>L19+L20-L21-L22</f>
        <v/>
      </c>
    </row>
    <row r="25">
      <c r="G25" s="18" t="n"/>
    </row>
    <row r="26">
      <c r="A26" s="19" t="inlineStr">
        <is>
          <t>DISCOUNT FACTORS</t>
        </is>
      </c>
      <c r="B26" s="20" t="n"/>
      <c r="C26" s="20" t="n"/>
      <c r="D26" s="8" t="n"/>
      <c r="E26" s="8" t="n"/>
      <c r="F26" s="8" t="n"/>
      <c r="G26" s="9" t="n"/>
      <c r="H26" s="8" t="n"/>
      <c r="I26" s="8" t="n"/>
      <c r="J26" s="8" t="n"/>
      <c r="K26" s="8" t="n"/>
      <c r="L26" s="8" t="n"/>
    </row>
    <row r="27">
      <c r="A27" s="1" t="inlineStr">
        <is>
          <t>Discount Period (mid-year)</t>
        </is>
      </c>
      <c r="D27" s="2" t="n"/>
      <c r="E27" s="2" t="n"/>
      <c r="F27" s="2" t="n"/>
      <c r="G27" s="10" t="n"/>
      <c r="H27" s="3" t="n">
        <v>0.5</v>
      </c>
      <c r="I27" s="3" t="n">
        <v>1.5</v>
      </c>
      <c r="J27" s="3" t="n">
        <v>2.5</v>
      </c>
      <c r="K27" s="3" t="n">
        <v>3.5</v>
      </c>
      <c r="L27" s="3" t="n">
        <v>4.5</v>
      </c>
    </row>
    <row r="28">
      <c r="A28" s="1" t="inlineStr">
        <is>
          <t>Discount Factor</t>
        </is>
      </c>
      <c r="D28" s="11" t="n"/>
      <c r="E28" s="11" t="n"/>
      <c r="F28" s="11" t="n"/>
      <c r="G28" s="12" t="n"/>
      <c r="H28" s="13">
        <f>1/(1+$H$14)^H27</f>
        <v/>
      </c>
      <c r="I28" s="13">
        <f>1/(1+$H$14)^I27</f>
        <v/>
      </c>
      <c r="J28" s="13">
        <f>1/(1+$H$14)^J27</f>
        <v/>
      </c>
      <c r="K28" s="13">
        <f>1/(1+$H$14)^K27</f>
        <v/>
      </c>
      <c r="L28" s="13">
        <f>1/(1+$H$14)^L27</f>
        <v/>
      </c>
    </row>
    <row r="29">
      <c r="A29" s="1" t="inlineStr">
        <is>
          <t>PV of FCF</t>
        </is>
      </c>
      <c r="B29" s="14" t="inlineStr">
        <is>
          <t>RMB mn</t>
        </is>
      </c>
      <c r="D29" s="21" t="n"/>
      <c r="E29" s="21" t="n"/>
      <c r="F29" s="21" t="n"/>
      <c r="G29" s="22" t="n"/>
      <c r="H29" s="23">
        <f>H24*H28</f>
        <v/>
      </c>
      <c r="I29" s="23">
        <f>I24*I28</f>
        <v/>
      </c>
      <c r="J29" s="23">
        <f>J24*J28</f>
        <v/>
      </c>
      <c r="K29" s="23">
        <f>K24*K28</f>
        <v/>
      </c>
      <c r="L29" s="23">
        <f>L24*L28</f>
        <v/>
      </c>
    </row>
    <row r="30">
      <c r="D30" s="8" t="n"/>
      <c r="E30" s="8" t="n"/>
      <c r="F30" s="8" t="n"/>
      <c r="G30" s="9" t="n"/>
      <c r="H30" s="8" t="n"/>
      <c r="I30" s="8" t="n"/>
      <c r="J30" s="8" t="n"/>
      <c r="K30" s="8" t="n"/>
      <c r="L30" s="8" t="n"/>
    </row>
    <row r="31">
      <c r="A31" s="19" t="inlineStr">
        <is>
          <t>TERMINAL VALUE</t>
        </is>
      </c>
      <c r="B31" s="20" t="n"/>
      <c r="C31" s="20" t="n"/>
      <c r="D31" s="20" t="n"/>
      <c r="E31" s="20" t="n"/>
      <c r="F31" s="20" t="n"/>
      <c r="G31" s="36" t="n"/>
      <c r="H31" s="20" t="n"/>
      <c r="I31" s="20" t="n"/>
      <c r="J31" s="20" t="n"/>
      <c r="K31" s="20" t="n"/>
      <c r="L31" s="20" t="n"/>
    </row>
    <row r="32">
      <c r="A32" s="1" t="inlineStr">
        <is>
          <t>TV Method</t>
        </is>
      </c>
      <c r="D32" s="11" t="n"/>
      <c r="E32" s="11" t="n"/>
      <c r="F32" s="11" t="n"/>
      <c r="G32" s="12" t="n"/>
      <c r="H32" s="13" t="n"/>
      <c r="I32" s="13" t="n"/>
      <c r="J32" s="13" t="n"/>
      <c r="K32" s="13" t="n"/>
      <c r="L32" s="13" t="n"/>
    </row>
    <row r="33">
      <c r="A33" s="1" t="inlineStr">
        <is>
          <t>Terminal Growth Rate</t>
        </is>
      </c>
      <c r="B33" s="14" t="inlineStr">
        <is>
          <t>%</t>
        </is>
      </c>
      <c r="D33" s="27" t="n"/>
      <c r="E33" s="27" t="n"/>
      <c r="F33" s="27" t="n"/>
      <c r="G33" s="28" t="n"/>
      <c r="H33" s="29" t="n"/>
      <c r="I33" s="29" t="n"/>
      <c r="J33" s="29" t="n"/>
      <c r="K33" s="29" t="n"/>
      <c r="L33" s="29" t="n"/>
    </row>
    <row r="34">
      <c r="A34" s="1" t="inlineStr">
        <is>
          <t>Exit EV/EBITDA Multiple</t>
        </is>
      </c>
      <c r="B34" s="14" t="inlineStr">
        <is>
          <t>x</t>
        </is>
      </c>
      <c r="D34" s="45" t="n"/>
      <c r="E34" s="45" t="n"/>
      <c r="F34" s="45" t="n"/>
      <c r="G34" s="46" t="n"/>
      <c r="H34" s="47" t="n"/>
      <c r="I34" s="47" t="n"/>
      <c r="J34" s="47" t="n"/>
      <c r="K34" s="47" t="n"/>
      <c r="L34" s="47" t="n"/>
    </row>
    <row r="35">
      <c r="A35" s="1" t="inlineStr">
        <is>
          <t>Terminal Value</t>
        </is>
      </c>
      <c r="B35" s="14" t="inlineStr">
        <is>
          <t>RMB mn</t>
        </is>
      </c>
      <c r="D35" s="21" t="n"/>
      <c r="E35" s="21" t="n"/>
      <c r="F35" s="21" t="n"/>
      <c r="G35" s="22" t="n"/>
      <c r="H35" s="23" t="n"/>
      <c r="I35" s="23" t="n"/>
      <c r="J35" s="23" t="n"/>
      <c r="K35" s="23" t="n"/>
      <c r="L35" s="23" t="n"/>
    </row>
    <row r="36">
      <c r="A36" s="1" t="inlineStr">
        <is>
          <t>PV of Terminal Value</t>
        </is>
      </c>
      <c r="B36" s="14" t="inlineStr">
        <is>
          <t>RMB mn</t>
        </is>
      </c>
      <c r="D36" s="24" t="n"/>
      <c r="E36" s="24" t="n"/>
      <c r="F36" s="24" t="n"/>
      <c r="G36" s="25" t="n"/>
      <c r="H36" s="26" t="n"/>
      <c r="I36" s="26" t="n"/>
      <c r="J36" s="26" t="n"/>
      <c r="K36" s="26" t="n"/>
      <c r="L36" s="26" t="n"/>
    </row>
    <row r="37">
      <c r="G37" s="18" t="n"/>
    </row>
    <row r="38">
      <c r="A38" s="19" t="inlineStr">
        <is>
          <t>ENTERPRISE &amp; EQUITY VALUE</t>
        </is>
      </c>
      <c r="B38" s="20" t="n"/>
      <c r="C38" s="20" t="n"/>
      <c r="D38" s="8" t="n"/>
      <c r="E38" s="8" t="n"/>
      <c r="F38" s="8" t="n"/>
      <c r="G38" s="9" t="n"/>
      <c r="H38" s="8" t="n"/>
      <c r="I38" s="8" t="n"/>
      <c r="J38" s="8" t="n"/>
      <c r="K38" s="8" t="n"/>
      <c r="L38" s="8" t="n"/>
    </row>
    <row r="39">
      <c r="A39" s="1" t="inlineStr">
        <is>
          <t>Sum of PV(FCF)</t>
        </is>
      </c>
      <c r="B39" s="14" t="inlineStr">
        <is>
          <t>RMB mn</t>
        </is>
      </c>
      <c r="D39" s="21" t="n"/>
      <c r="E39" s="21" t="n"/>
      <c r="F39" s="21" t="n"/>
      <c r="G39" s="22" t="n"/>
      <c r="H39" s="23" t="n"/>
      <c r="I39" s="23" t="n"/>
      <c r="J39" s="23" t="n"/>
      <c r="K39" s="23" t="n"/>
      <c r="L39" s="23" t="n"/>
    </row>
    <row r="40">
      <c r="A40" s="33" t="inlineStr">
        <is>
          <t>Enterprise Value</t>
        </is>
      </c>
      <c r="B40" s="14" t="inlineStr">
        <is>
          <t>RMB mn</t>
        </is>
      </c>
      <c r="D40" s="34" t="n"/>
      <c r="E40" s="34" t="n"/>
      <c r="F40" s="34" t="n"/>
      <c r="G40" s="35" t="n"/>
      <c r="H40" s="34" t="n"/>
      <c r="I40" s="34" t="n"/>
      <c r="J40" s="34" t="n"/>
      <c r="K40" s="34" t="n"/>
      <c r="L40" s="34" t="n"/>
    </row>
    <row r="41">
      <c r="A41" s="1" t="inlineStr">
        <is>
          <t>Net Debt</t>
        </is>
      </c>
      <c r="B41" s="14" t="inlineStr">
        <is>
          <t>RMB mn</t>
        </is>
      </c>
      <c r="D41" s="21" t="n"/>
      <c r="E41" s="21" t="n"/>
      <c r="F41" s="21" t="n"/>
      <c r="G41" s="22" t="n"/>
      <c r="H41" s="23" t="n"/>
      <c r="I41" s="23" t="n"/>
      <c r="J41" s="23" t="n"/>
      <c r="K41" s="23" t="n"/>
      <c r="L41" s="23" t="n"/>
    </row>
    <row r="42">
      <c r="A42" s="33" t="inlineStr">
        <is>
          <t>Equity Value</t>
        </is>
      </c>
      <c r="B42" s="14" t="inlineStr">
        <is>
          <t>RMB mn</t>
        </is>
      </c>
      <c r="D42" s="34" t="n"/>
      <c r="E42" s="34" t="n"/>
      <c r="F42" s="34" t="n"/>
      <c r="G42" s="35" t="n"/>
      <c r="H42" s="34" t="n"/>
      <c r="I42" s="34" t="n"/>
      <c r="J42" s="34" t="n"/>
      <c r="K42" s="34" t="n"/>
      <c r="L42" s="34" t="n"/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Comps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3">
      <c r="A3" s="1" t="inlineStr">
        <is>
          <t>COMPARABLE COMPANIES</t>
        </is>
      </c>
      <c r="D3" s="2" t="n"/>
      <c r="E3" s="2" t="n"/>
      <c r="F3" s="2" t="n"/>
      <c r="G3" s="2" t="n"/>
      <c r="H3" s="3" t="n"/>
      <c r="I3" s="3" t="n"/>
      <c r="J3" s="3" t="n"/>
      <c r="K3" s="3" t="n"/>
      <c r="L3" s="3" t="n"/>
    </row>
    <row r="4">
      <c r="A4" s="1" t="inlineStr">
        <is>
          <t>Comp 1</t>
        </is>
      </c>
      <c r="B4" s="14" t="inlineStr">
        <is>
          <t>RMB mn</t>
        </is>
      </c>
      <c r="D4" s="21" t="n"/>
      <c r="E4" s="21" t="n"/>
      <c r="F4" s="21" t="n"/>
      <c r="G4" s="21" t="n"/>
      <c r="H4" s="23" t="n"/>
      <c r="I4" s="23" t="n"/>
      <c r="J4" s="23" t="n"/>
      <c r="K4" s="23" t="n"/>
      <c r="L4" s="23" t="n"/>
    </row>
    <row r="5">
      <c r="A5" s="1" t="inlineStr">
        <is>
          <t>Comp 2</t>
        </is>
      </c>
      <c r="B5" s="14" t="inlineStr">
        <is>
          <t>RMB mn</t>
        </is>
      </c>
    </row>
    <row r="6">
      <c r="A6" s="1" t="inlineStr">
        <is>
          <t>Comp 3</t>
        </is>
      </c>
      <c r="B6" s="14" t="inlineStr">
        <is>
          <t>RMB mn</t>
        </is>
      </c>
    </row>
    <row r="7">
      <c r="A7" s="1" t="inlineStr">
        <is>
          <t>Comp 4</t>
        </is>
      </c>
      <c r="B7" s="14" t="inlineStr">
        <is>
          <t>RMB mn</t>
        </is>
      </c>
    </row>
    <row r="8">
      <c r="A8" s="1" t="inlineStr">
        <is>
          <t>Comp 5</t>
        </is>
      </c>
      <c r="B8" s="14" t="inlineStr">
        <is>
          <t>RMB mn</t>
        </is>
      </c>
    </row>
    <row r="9">
      <c r="A9" s="1" t="inlineStr">
        <is>
          <t>Comp 6</t>
        </is>
      </c>
      <c r="B9" s="14" t="inlineStr">
        <is>
          <t>RMB mn</t>
        </is>
      </c>
    </row>
    <row r="10">
      <c r="A10" s="1" t="inlineStr">
        <is>
          <t>Comp 7</t>
        </is>
      </c>
      <c r="B10" s="14" t="inlineStr">
        <is>
          <t>RMB mn</t>
        </is>
      </c>
    </row>
    <row r="11">
      <c r="A11" s="1" t="inlineStr">
        <is>
          <t>Comp 8</t>
        </is>
      </c>
      <c r="B11" s="14" t="inlineStr">
        <is>
          <t>RMB mn</t>
        </is>
      </c>
    </row>
    <row r="12">
      <c r="A12" s="1" t="inlineStr">
        <is>
          <t>Comp 9</t>
        </is>
      </c>
      <c r="B12" s="14" t="inlineStr">
        <is>
          <t>RMB mn</t>
        </is>
      </c>
    </row>
    <row r="13">
      <c r="A13" s="1" t="inlineStr">
        <is>
          <t>Comp 10</t>
        </is>
      </c>
      <c r="B13" s="14" t="inlineStr">
        <is>
          <t>RMB mn</t>
        </is>
      </c>
    </row>
    <row r="14">
      <c r="A14" s="1" t="inlineStr">
        <is>
          <t>Comp 11</t>
        </is>
      </c>
      <c r="B14" s="14" t="inlineStr">
        <is>
          <t>RMB mn</t>
        </is>
      </c>
    </row>
    <row r="15">
      <c r="A15" s="1" t="inlineStr">
        <is>
          <t>Comp 12</t>
        </is>
      </c>
      <c r="B15" s="14" t="inlineStr">
        <is>
          <t>RMB mn</t>
        </is>
      </c>
      <c r="D15" s="2" t="n"/>
      <c r="E15" s="2" t="n"/>
      <c r="F15" s="2" t="n"/>
      <c r="G15" s="2" t="n"/>
      <c r="H15" s="3" t="n"/>
      <c r="I15" s="3" t="n"/>
      <c r="J15" s="3" t="n"/>
      <c r="K15" s="3" t="n"/>
      <c r="L15" s="3" t="n"/>
    </row>
    <row r="16">
      <c r="D16" s="2" t="n"/>
      <c r="E16" s="2" t="n"/>
      <c r="F16" s="2" t="n"/>
      <c r="G16" s="2" t="n"/>
      <c r="H16" s="3" t="n"/>
      <c r="I16" s="3" t="n"/>
      <c r="J16" s="3" t="n"/>
      <c r="K16" s="3" t="n"/>
      <c r="L16" s="3" t="n"/>
    </row>
    <row r="17">
      <c r="A17" s="33" t="inlineStr">
        <is>
          <t>Mean</t>
        </is>
      </c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</row>
    <row r="18">
      <c r="A18" s="33" t="inlineStr">
        <is>
          <t>Median</t>
        </is>
      </c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</row>
    <row r="19">
      <c r="A19" s="1" t="inlineStr">
        <is>
          <t>25th Percentile</t>
        </is>
      </c>
      <c r="D19" s="2" t="n"/>
      <c r="E19" s="2" t="n"/>
      <c r="F19" s="2" t="n"/>
      <c r="G19" s="2" t="n"/>
      <c r="H19" s="3" t="n"/>
      <c r="I19" s="3" t="n"/>
      <c r="J19" s="3" t="n"/>
      <c r="K19" s="3" t="n"/>
      <c r="L19" s="3" t="n"/>
    </row>
    <row r="20">
      <c r="A20" s="1" t="inlineStr">
        <is>
          <t>75th Percentile</t>
        </is>
      </c>
      <c r="D20" s="2" t="n"/>
      <c r="E20" s="2" t="n"/>
      <c r="F20" s="2" t="n"/>
      <c r="G20" s="2" t="n"/>
      <c r="H20" s="3" t="n"/>
      <c r="I20" s="3" t="n"/>
      <c r="J20" s="3" t="n"/>
      <c r="K20" s="3" t="n"/>
      <c r="L20" s="3" t="n"/>
    </row>
    <row r="22">
      <c r="A22" s="19" t="inlineStr">
        <is>
          <t>IMPLIED VALUATION</t>
        </is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</row>
    <row r="23">
      <c r="A23" s="1" t="inlineStr">
        <is>
          <t>Target Revenue (NTM)</t>
        </is>
      </c>
      <c r="B23" s="14" t="inlineStr">
        <is>
          <t>RMB mn</t>
        </is>
      </c>
      <c r="D23" s="21" t="n"/>
      <c r="E23" s="21" t="n"/>
      <c r="F23" s="21" t="n"/>
      <c r="G23" s="21" t="n"/>
      <c r="H23" s="40" t="n"/>
      <c r="I23" s="40" t="n"/>
      <c r="J23" s="40" t="n"/>
      <c r="K23" s="40" t="n"/>
      <c r="L23" s="40" t="n"/>
    </row>
    <row r="24">
      <c r="A24" s="1" t="inlineStr">
        <is>
          <t>Target EBITDA (NTM)</t>
        </is>
      </c>
      <c r="B24" s="14" t="inlineStr">
        <is>
          <t>RMB mn</t>
        </is>
      </c>
      <c r="D24" s="21" t="n"/>
      <c r="E24" s="21" t="n"/>
      <c r="F24" s="21" t="n"/>
      <c r="G24" s="21" t="n"/>
      <c r="H24" s="40" t="n"/>
      <c r="I24" s="40" t="n"/>
      <c r="J24" s="40" t="n"/>
      <c r="K24" s="40" t="n"/>
      <c r="L24" s="40" t="n"/>
    </row>
    <row r="25">
      <c r="A25" s="1" t="inlineStr">
        <is>
          <t>Target EBIT (NTM)</t>
        </is>
      </c>
      <c r="B25" s="14" t="inlineStr">
        <is>
          <t>RMB mn</t>
        </is>
      </c>
      <c r="D25" s="21" t="n"/>
      <c r="E25" s="21" t="n"/>
      <c r="F25" s="21" t="n"/>
      <c r="G25" s="21" t="n"/>
      <c r="H25" s="40" t="n"/>
      <c r="I25" s="40" t="n"/>
      <c r="J25" s="40" t="n"/>
      <c r="K25" s="40" t="n"/>
      <c r="L25" s="40" t="n"/>
    </row>
    <row r="26">
      <c r="A26" s="1" t="inlineStr">
        <is>
          <t>Target Net Income (NTM)</t>
        </is>
      </c>
      <c r="B26" s="14" t="inlineStr">
        <is>
          <t>RMB mn</t>
        </is>
      </c>
      <c r="D26" s="21" t="n"/>
      <c r="E26" s="21" t="n"/>
      <c r="F26" s="21" t="n"/>
      <c r="G26" s="21" t="n"/>
      <c r="H26" s="40" t="n"/>
      <c r="I26" s="40" t="n"/>
      <c r="J26" s="40" t="n"/>
      <c r="K26" s="40" t="n"/>
      <c r="L26" s="40" t="n"/>
    </row>
    <row r="27">
      <c r="A27" s="1" t="inlineStr">
        <is>
          <t>Implied EV (EV/Revenue)</t>
        </is>
      </c>
      <c r="B27" s="14" t="inlineStr">
        <is>
          <t>RMB mn</t>
        </is>
      </c>
      <c r="D27" s="21" t="n"/>
      <c r="E27" s="21" t="n"/>
      <c r="F27" s="21" t="n"/>
      <c r="G27" s="21" t="n"/>
      <c r="H27" s="23" t="n"/>
      <c r="I27" s="23" t="n"/>
      <c r="J27" s="23" t="n"/>
      <c r="K27" s="23" t="n"/>
      <c r="L27" s="23" t="n"/>
    </row>
    <row r="28">
      <c r="A28" s="1" t="inlineStr">
        <is>
          <t>Implied EV (EV/EBITDA)</t>
        </is>
      </c>
      <c r="B28" s="14" t="inlineStr">
        <is>
          <t>RMB mn</t>
        </is>
      </c>
      <c r="D28" s="21" t="n"/>
      <c r="E28" s="21" t="n"/>
      <c r="F28" s="21" t="n"/>
      <c r="G28" s="21" t="n"/>
      <c r="H28" s="23" t="n"/>
      <c r="I28" s="23" t="n"/>
      <c r="J28" s="23" t="n"/>
      <c r="K28" s="23" t="n"/>
      <c r="L28" s="23" t="n"/>
    </row>
    <row r="29">
      <c r="A29" s="1" t="inlineStr">
        <is>
          <t>Implied EV (EV/EBIT)</t>
        </is>
      </c>
      <c r="B29" s="14" t="inlineStr">
        <is>
          <t>RMB mn</t>
        </is>
      </c>
      <c r="D29" s="21" t="n"/>
      <c r="E29" s="21" t="n"/>
      <c r="F29" s="21" t="n"/>
      <c r="G29" s="21" t="n"/>
      <c r="H29" s="23" t="n"/>
      <c r="I29" s="23" t="n"/>
      <c r="J29" s="23" t="n"/>
      <c r="K29" s="23" t="n"/>
      <c r="L29" s="23" t="n"/>
    </row>
    <row r="30">
      <c r="A30" s="1" t="inlineStr">
        <is>
          <t>Implied Equity (P/E)</t>
        </is>
      </c>
      <c r="B30" s="14" t="inlineStr">
        <is>
          <t>RMB mn</t>
        </is>
      </c>
      <c r="D30" s="21" t="n"/>
      <c r="E30" s="21" t="n"/>
      <c r="F30" s="21" t="n"/>
      <c r="G30" s="21" t="n"/>
      <c r="H30" s="23" t="n"/>
      <c r="I30" s="23" t="n"/>
      <c r="J30" s="23" t="n"/>
      <c r="K30" s="23" t="n"/>
      <c r="L30" s="23" t="n"/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Dashboard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3">
      <c r="A3" s="19" t="inlineStr">
        <is>
          <t>KEY PERFORMANCE INDICATORS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>
      <c r="A4" s="1" t="inlineStr">
        <is>
          <t>Revenue</t>
        </is>
      </c>
      <c r="B4" s="14" t="inlineStr">
        <is>
          <t>RMB mn</t>
        </is>
      </c>
      <c r="D4" s="21" t="n"/>
      <c r="E4" s="21" t="n"/>
      <c r="F4" s="21" t="n"/>
      <c r="G4" s="21" t="n"/>
      <c r="H4" s="40" t="n"/>
      <c r="I4" s="40" t="n"/>
      <c r="J4" s="40" t="n"/>
      <c r="K4" s="40" t="n"/>
      <c r="L4" s="40" t="n"/>
    </row>
    <row r="5">
      <c r="A5" s="1" t="inlineStr">
        <is>
          <t>EBITDA</t>
        </is>
      </c>
      <c r="B5" s="14" t="inlineStr">
        <is>
          <t>RMB mn</t>
        </is>
      </c>
      <c r="D5" s="21" t="n"/>
      <c r="E5" s="21" t="n"/>
      <c r="F5" s="21" t="n"/>
      <c r="G5" s="21" t="n"/>
      <c r="H5" s="40" t="n"/>
      <c r="I5" s="40" t="n"/>
      <c r="J5" s="40" t="n"/>
      <c r="K5" s="40" t="n"/>
      <c r="L5" s="40" t="n"/>
    </row>
    <row r="6">
      <c r="A6" s="1" t="inlineStr">
        <is>
          <t>EBITDA Margin</t>
        </is>
      </c>
      <c r="B6" s="14" t="inlineStr">
        <is>
          <t>%</t>
        </is>
      </c>
      <c r="D6" s="27" t="n"/>
      <c r="E6" s="27" t="n"/>
      <c r="F6" s="27" t="n"/>
      <c r="G6" s="27" t="n"/>
      <c r="H6" s="29" t="n"/>
      <c r="I6" s="29" t="n"/>
      <c r="J6" s="29" t="n"/>
      <c r="K6" s="29" t="n"/>
      <c r="L6" s="29" t="n"/>
    </row>
    <row r="7">
      <c r="A7" s="1" t="inlineStr">
        <is>
          <t>Net Income</t>
        </is>
      </c>
      <c r="B7" s="14" t="inlineStr">
        <is>
          <t>RMB mn</t>
        </is>
      </c>
      <c r="D7" s="21" t="n"/>
      <c r="E7" s="21" t="n"/>
      <c r="F7" s="21" t="n"/>
      <c r="G7" s="21" t="n"/>
      <c r="H7" s="40" t="n"/>
      <c r="I7" s="40" t="n"/>
      <c r="J7" s="40" t="n"/>
      <c r="K7" s="40" t="n"/>
      <c r="L7" s="40" t="n"/>
    </row>
    <row r="8">
      <c r="A8" s="1" t="inlineStr">
        <is>
          <t>Net Margin</t>
        </is>
      </c>
      <c r="B8" s="14" t="inlineStr">
        <is>
          <t>%</t>
        </is>
      </c>
      <c r="D8" s="27" t="n"/>
      <c r="E8" s="27" t="n"/>
      <c r="F8" s="27" t="n"/>
      <c r="G8" s="27" t="n"/>
      <c r="H8" s="29" t="n"/>
      <c r="I8" s="29" t="n"/>
      <c r="J8" s="29" t="n"/>
      <c r="K8" s="29" t="n"/>
      <c r="L8" s="29" t="n"/>
    </row>
    <row r="9">
      <c r="A9" s="1" t="inlineStr">
        <is>
          <t>Revenue CAGR (5yr)</t>
        </is>
      </c>
      <c r="B9" s="14" t="inlineStr">
        <is>
          <t>%</t>
        </is>
      </c>
      <c r="D9" s="27" t="n"/>
      <c r="E9" s="27" t="n"/>
      <c r="F9" s="27" t="n"/>
      <c r="G9" s="27" t="n"/>
      <c r="H9" s="29" t="n"/>
      <c r="I9" s="29" t="n"/>
      <c r="J9" s="29" t="n"/>
      <c r="K9" s="29" t="n"/>
      <c r="L9" s="29" t="n"/>
    </row>
    <row r="11">
      <c r="A11" s="19" t="inlineStr">
        <is>
          <t>RETURNS SUMMARY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</row>
    <row r="12">
      <c r="A12" s="1" t="inlineStr">
        <is>
          <t>IRR (P/S Method)</t>
        </is>
      </c>
      <c r="B12" s="14" t="inlineStr">
        <is>
          <t>%</t>
        </is>
      </c>
      <c r="D12" s="27" t="n"/>
      <c r="E12" s="27" t="n"/>
      <c r="F12" s="27" t="n"/>
      <c r="G12" s="27" t="n"/>
      <c r="H12" s="29" t="n"/>
      <c r="I12" s="29" t="n"/>
      <c r="J12" s="29" t="n"/>
      <c r="K12" s="29" t="n"/>
      <c r="L12" s="29" t="n"/>
    </row>
    <row r="13">
      <c r="A13" s="1" t="inlineStr">
        <is>
          <t>MOIC (P/S Method)</t>
        </is>
      </c>
      <c r="B13" s="14" t="inlineStr">
        <is>
          <t>x</t>
        </is>
      </c>
      <c r="D13" s="15" t="n"/>
      <c r="E13" s="15" t="n"/>
      <c r="F13" s="15" t="n"/>
      <c r="G13" s="15" t="n"/>
      <c r="H13" s="17" t="n"/>
      <c r="I13" s="17" t="n"/>
      <c r="J13" s="17" t="n"/>
      <c r="K13" s="17" t="n"/>
      <c r="L13" s="17" t="n"/>
    </row>
    <row r="14">
      <c r="A14" s="1" t="inlineStr">
        <is>
          <t>IRR (P/E Method)</t>
        </is>
      </c>
      <c r="B14" s="14" t="inlineStr">
        <is>
          <t>%</t>
        </is>
      </c>
      <c r="D14" s="27" t="n"/>
      <c r="E14" s="27" t="n"/>
      <c r="F14" s="27" t="n"/>
      <c r="G14" s="27" t="n"/>
      <c r="H14" s="29" t="n"/>
      <c r="I14" s="29" t="n"/>
      <c r="J14" s="29" t="n"/>
      <c r="K14" s="29" t="n"/>
      <c r="L14" s="29" t="n"/>
    </row>
    <row r="15">
      <c r="A15" s="1" t="inlineStr">
        <is>
          <t>MOIC (P/E Method)</t>
        </is>
      </c>
      <c r="B15" s="14" t="inlineStr">
        <is>
          <t>x</t>
        </is>
      </c>
      <c r="D15" s="15" t="n"/>
      <c r="E15" s="15" t="n"/>
      <c r="F15" s="15" t="n"/>
      <c r="G15" s="15" t="n"/>
      <c r="H15" s="17" t="n"/>
      <c r="I15" s="17" t="n"/>
      <c r="J15" s="17" t="n"/>
      <c r="K15" s="17" t="n"/>
      <c r="L15" s="17" t="n"/>
    </row>
    <row r="17">
      <c r="A17" s="19" t="inlineStr">
        <is>
          <t>MODEL INTEGRITY CHECKS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</row>
    <row r="18">
      <c r="A18" s="33" t="inlineStr">
        <is>
          <t>Balance Sheet Check</t>
        </is>
      </c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</row>
    <row r="19">
      <c r="A19" s="33" t="inlineStr">
        <is>
          <t>Cash Tie-out Check</t>
        </is>
      </c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</row>
    <row r="21">
      <c r="A21" s="19" t="inlineStr">
        <is>
          <t>KEY METRICS BY YEAR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</row>
    <row r="22">
      <c r="A22" s="1" t="inlineStr"/>
      <c r="D22" s="2" t="n"/>
      <c r="E22" s="2" t="n"/>
      <c r="F22" s="2" t="n"/>
      <c r="G22" s="2" t="n"/>
      <c r="H22" s="3" t="n"/>
      <c r="I22" s="3" t="n"/>
      <c r="J22" s="3" t="n"/>
      <c r="K22" s="3" t="n"/>
      <c r="L22" s="3" t="n"/>
    </row>
    <row r="23">
      <c r="A23" s="1" t="inlineStr">
        <is>
          <t>Revenue</t>
        </is>
      </c>
      <c r="B23" s="14" t="inlineStr">
        <is>
          <t>RMB mn</t>
        </is>
      </c>
      <c r="D23" s="21" t="n"/>
      <c r="E23" s="21" t="n"/>
      <c r="F23" s="21" t="n"/>
      <c r="G23" s="21" t="n"/>
      <c r="H23" s="40" t="n"/>
      <c r="I23" s="40" t="n"/>
      <c r="J23" s="40" t="n"/>
      <c r="K23" s="40" t="n"/>
      <c r="L23" s="40" t="n"/>
    </row>
    <row r="24">
      <c r="A24" s="1" t="inlineStr">
        <is>
          <t>EBITDA</t>
        </is>
      </c>
      <c r="B24" s="14" t="inlineStr">
        <is>
          <t>RMB mn</t>
        </is>
      </c>
      <c r="D24" s="21" t="n"/>
      <c r="E24" s="21" t="n"/>
      <c r="F24" s="21" t="n"/>
      <c r="G24" s="21" t="n"/>
      <c r="H24" s="40" t="n"/>
      <c r="I24" s="40" t="n"/>
      <c r="J24" s="40" t="n"/>
      <c r="K24" s="40" t="n"/>
      <c r="L24" s="40" t="n"/>
    </row>
    <row r="25">
      <c r="A25" s="1" t="inlineStr">
        <is>
          <t>Net Income</t>
        </is>
      </c>
      <c r="B25" s="14" t="inlineStr">
        <is>
          <t>RMB mn</t>
        </is>
      </c>
      <c r="D25" s="21" t="n"/>
      <c r="E25" s="21" t="n"/>
      <c r="F25" s="21" t="n"/>
      <c r="G25" s="21" t="n"/>
      <c r="H25" s="40" t="n"/>
      <c r="I25" s="40" t="n"/>
      <c r="J25" s="40" t="n"/>
      <c r="K25" s="40" t="n"/>
      <c r="L25" s="40" t="n"/>
    </row>
    <row r="26">
      <c r="A26" s="1" t="inlineStr">
        <is>
          <t>Free Cash Flow</t>
        </is>
      </c>
      <c r="B26" s="14" t="inlineStr">
        <is>
          <t>RMB mn</t>
        </is>
      </c>
      <c r="D26" s="21" t="n"/>
      <c r="E26" s="21" t="n"/>
      <c r="F26" s="21" t="n"/>
      <c r="G26" s="21" t="n"/>
      <c r="H26" s="40" t="n"/>
      <c r="I26" s="40" t="n"/>
      <c r="J26" s="40" t="n"/>
      <c r="K26" s="40" t="n"/>
      <c r="L26" s="40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2026-04-20T11:11:16Z</dcterms:created>
  <dcterms:modified xmlns:dcterms="http://purl.org/dc/terms/" xmlns:xsi="http://www.w3.org/2001/XMLSchema-instance" xsi:type="dcterms:W3CDTF">2026-04-20T11:11:16Z</dcterms:modified>
</cp:coreProperties>
</file>