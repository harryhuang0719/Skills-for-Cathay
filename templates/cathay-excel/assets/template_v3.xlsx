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Key Assumptions" sheetId="2" state="visible" r:id="rId2"/>
    <sheet xmlns:r="http://schemas.openxmlformats.org/officeDocument/2006/relationships" name="TAM &amp; Market" sheetId="3" state="visible" r:id="rId3"/>
    <sheet xmlns:r="http://schemas.openxmlformats.org/officeDocument/2006/relationships" name="Income Statement" sheetId="4" state="visible" r:id="rId4"/>
    <sheet xmlns:r="http://schemas.openxmlformats.org/officeDocument/2006/relationships" name="Balance Sheet" sheetId="5" state="visible" r:id="rId5"/>
    <sheet xmlns:r="http://schemas.openxmlformats.org/officeDocument/2006/relationships" name="Cash Flow Statement" sheetId="6" state="visible" r:id="rId6"/>
    <sheet xmlns:r="http://schemas.openxmlformats.org/officeDocument/2006/relationships" name="Debt &amp; CapEx" sheetId="7" state="visible" r:id="rId7"/>
    <sheet xmlns:r="http://schemas.openxmlformats.org/officeDocument/2006/relationships" name="Return Analysis" sheetId="8" state="visible" r:id="rId8"/>
    <sheet xmlns:r="http://schemas.openxmlformats.org/officeDocument/2006/relationships" name="DCF Valuation" sheetId="9" state="visible" r:id="rId9"/>
    <sheet xmlns:r="http://schemas.openxmlformats.org/officeDocument/2006/relationships" name="Comps" sheetId="10" state="visible" r:id="rId10"/>
    <sheet xmlns:r="http://schemas.openxmlformats.org/officeDocument/2006/relationships" name="Dashboard" sheetId="11" state="visible" r:id="rId11"/>
    <sheet xmlns:r="http://schemas.openxmlformats.org/officeDocument/2006/relationships" name="Model Check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0.0x"/>
    <numFmt numFmtId="166" formatCode="#,##0.0"/>
    <numFmt numFmtId="167" formatCode="yyyy-mm"/>
  </numFmts>
  <fonts count="23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sz val="10"/>
    </font>
    <font>
      <name val="Calibri"/>
      <color rgb="000070C0"/>
      <sz val="10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b val="1"/>
      <color rgb="00800000"/>
      <sz val="10"/>
    </font>
    <font>
      <name val="Calibri"/>
      <sz val="10"/>
    </font>
    <font>
      <name val="Calibri"/>
      <color rgb="0000B050"/>
      <sz val="10"/>
    </font>
    <font>
      <name val="Calibri"/>
      <b val="1"/>
      <color rgb="0000B050"/>
      <sz val="10"/>
    </font>
    <font>
      <name val="Calibri"/>
      <b val="1"/>
      <color rgb="00FF0000"/>
      <sz val="10"/>
    </font>
    <font>
      <name val="Calibri"/>
      <color rgb="00000000"/>
      <sz val="10"/>
    </font>
    <font>
      <name val="Calibri"/>
      <b val="1"/>
      <color rgb="00C8A415"/>
      <sz val="10"/>
    </font>
    <font>
      <name val="Calibri"/>
      <b val="1"/>
      <color rgb="000070C0"/>
      <sz val="10"/>
    </font>
    <font>
      <name val="Calibri"/>
      <b val="1"/>
      <color theme="1"/>
      <sz val="11"/>
    </font>
    <font>
      <name val="Calibri"/>
      <b val="1"/>
      <color rgb="00FFFFFF"/>
      <sz val="12"/>
    </font>
    <font>
      <name val="Calibri"/>
      <b val="1"/>
      <color rgb="00800000"/>
      <sz val="12"/>
    </font>
    <font>
      <name val="Calibri"/>
      <i val="1"/>
      <color rgb="00808080"/>
      <sz val="10"/>
    </font>
    <font>
      <name val="Calibri"/>
      <color rgb="00808080"/>
      <sz val="9"/>
    </font>
    <font>
      <name val="Calibri"/>
      <i val="1"/>
      <color rgb="00808080"/>
      <sz val="9"/>
    </font>
    <font>
      <name val="Calibri"/>
      <b val="1"/>
      <color rgb="0000B050"/>
      <sz val="12"/>
    </font>
    <font>
      <name val="Calibri"/>
      <b val="1"/>
      <color rgb="00800000"/>
      <sz val="14"/>
    </font>
    <font>
      <name val="Calibri"/>
      <b val="1"/>
      <color rgb="0000B050"/>
      <sz val="14"/>
    </font>
  </fonts>
  <fills count="8">
    <fill>
      <patternFill/>
    </fill>
    <fill>
      <patternFill patternType="gray125"/>
    </fill>
    <fill>
      <patternFill patternType="solid">
        <fgColor rgb="00800000"/>
        <bgColor rgb="00800000"/>
      </patternFill>
    </fill>
    <fill>
      <patternFill patternType="solid">
        <fgColor rgb="00FFC000"/>
        <bgColor rgb="00FFC000"/>
      </patternFill>
    </fill>
    <fill>
      <patternFill patternType="solid">
        <fgColor rgb="00FBE9E8"/>
        <bgColor rgb="00FBE9E8"/>
      </patternFill>
    </fill>
    <fill>
      <patternFill patternType="solid">
        <fgColor rgb="00FFFFFF"/>
        <bgColor rgb="00FFFFFF"/>
      </patternFill>
    </fill>
    <fill>
      <patternFill patternType="solid">
        <fgColor rgb="00F7F7F7"/>
        <bgColor rgb="00F7F7F7"/>
      </patternFill>
    </fill>
    <fill>
      <patternFill patternType="solid">
        <fgColor rgb="00FFF2CC"/>
        <bgColor rgb="00FFF2CC"/>
      </patternFill>
    </fill>
  </fills>
  <borders count="12">
    <border>
      <left/>
      <right/>
      <top/>
      <bottom/>
      <diagonal/>
    </border>
    <border>
      <right style="dashed">
        <color rgb="00808080"/>
      </right>
    </border>
    <border>
      <top style="thin">
        <color rgb="00000000"/>
      </top>
    </border>
    <border>
      <top style="thin">
        <color rgb="00000000"/>
      </top>
      <bottom style="double">
        <color rgb="00000000"/>
      </bottom>
    </border>
    <border>
      <left/>
      <right style="dashed">
        <color rgb="00808080"/>
      </right>
      <top/>
      <bottom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/>
      <right/>
      <top style="thin">
        <color rgb="00FFFFFF"/>
      </top>
      <bottom/>
      <diagonal/>
    </border>
    <border>
      <left/>
      <right style="thin">
        <color rgb="00FFFFFF"/>
      </right>
      <top style="thin">
        <color rgb="00FFFFFF"/>
      </top>
      <bottom/>
      <diagonal/>
    </border>
    <border>
      <left/>
      <right/>
      <top style="thin">
        <color rgb="00FFFFFF"/>
      </top>
      <bottom style="thin">
        <color rgb="00FFFFFF"/>
      </bottom>
      <diagonal/>
    </border>
    <border>
      <left/>
      <right style="thin">
        <color rgb="00FFFFFF"/>
      </right>
      <top style="thin">
        <color rgb="00FFFFFF"/>
      </top>
      <bottom style="thin">
        <color rgb="00FFFFFF"/>
      </bottom>
      <diagonal/>
    </border>
    <border>
      <bottom style="thin">
        <color rgb="00D9D9D9"/>
      </bottom>
    </border>
    <border>
      <top style="thin">
        <color rgb="00D9D9D9"/>
      </top>
    </border>
  </borders>
  <cellStyleXfs count="1">
    <xf numFmtId="0" fontId="0" fillId="0" borderId="0"/>
  </cellStyleXfs>
  <cellXfs count="26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applyAlignment="1" pivotButton="0" quotePrefix="0" xfId="0">
      <alignment horizontal="left"/>
    </xf>
    <xf numFmtId="0" fontId="3" fillId="0" borderId="0" pivotButton="0" quotePrefix="0" xfId="0"/>
    <xf numFmtId="0" fontId="6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6" fillId="4" borderId="0" applyAlignment="1" pivotButton="0" quotePrefix="0" xfId="0">
      <alignment horizontal="center"/>
    </xf>
    <xf numFmtId="0" fontId="7" fillId="5" borderId="0" applyAlignment="1" pivotButton="0" quotePrefix="0" xfId="0">
      <alignment indent="1"/>
    </xf>
    <xf numFmtId="0" fontId="0" fillId="5" borderId="0" pivotButton="0" quotePrefix="0" xfId="0"/>
    <xf numFmtId="164" fontId="3" fillId="2" borderId="0" applyAlignment="1" pivotButton="0" quotePrefix="0" xfId="0">
      <alignment horizontal="center"/>
    </xf>
    <xf numFmtId="164" fontId="3" fillId="2" borderId="1" applyAlignment="1" pivotButton="0" quotePrefix="0" xfId="0">
      <alignment horizontal="center"/>
    </xf>
    <xf numFmtId="0" fontId="5" fillId="3" borderId="0" applyAlignment="1" pivotButton="0" quotePrefix="0" xfId="0">
      <alignment horizontal="center"/>
    </xf>
    <xf numFmtId="0" fontId="7" fillId="6" borderId="0" applyAlignment="1" pivotButton="0" quotePrefix="0" xfId="0">
      <alignment indent="1"/>
    </xf>
    <xf numFmtId="0" fontId="0" fillId="6" borderId="0" pivotButton="0" quotePrefix="0" xfId="0"/>
    <xf numFmtId="164" fontId="3" fillId="6" borderId="0" applyAlignment="1" pivotButton="0" quotePrefix="0" xfId="0">
      <alignment horizontal="center"/>
    </xf>
    <xf numFmtId="164" fontId="3" fillId="6" borderId="1" applyAlignment="1" pivotButton="0" quotePrefix="0" xfId="0">
      <alignment horizontal="center"/>
    </xf>
    <xf numFmtId="164" fontId="3" fillId="5" borderId="0" applyAlignment="1" pivotButton="0" quotePrefix="0" xfId="0">
      <alignment horizontal="center"/>
    </xf>
    <xf numFmtId="164" fontId="3" fillId="5" borderId="1" applyAlignment="1" pivotButton="0" quotePrefix="0" xfId="0">
      <alignment horizontal="center"/>
    </xf>
    <xf numFmtId="165" fontId="3" fillId="6" borderId="0" applyAlignment="1" pivotButton="0" quotePrefix="0" xfId="0">
      <alignment horizontal="center"/>
    </xf>
    <xf numFmtId="165" fontId="3" fillId="6" borderId="1" applyAlignment="1" pivotButton="0" quotePrefix="0" xfId="0">
      <alignment horizontal="center"/>
    </xf>
    <xf numFmtId="0" fontId="0" fillId="5" borderId="1" pivotButton="0" quotePrefix="0" xfId="0"/>
    <xf numFmtId="0" fontId="2" fillId="6" borderId="0" pivotButton="0" quotePrefix="0" xfId="0"/>
    <xf numFmtId="0" fontId="7" fillId="6" borderId="0" pivotButton="0" quotePrefix="0" xfId="0"/>
    <xf numFmtId="164" fontId="8" fillId="6" borderId="0" pivotButton="0" quotePrefix="0" xfId="0"/>
    <xf numFmtId="0" fontId="0" fillId="6" borderId="1" pivotButton="0" quotePrefix="0" xfId="0"/>
    <xf numFmtId="0" fontId="7" fillId="5" borderId="0" pivotButton="0" quotePrefix="0" xfId="0"/>
    <xf numFmtId="164" fontId="8" fillId="5" borderId="0" pivotButton="0" quotePrefix="0" xfId="0"/>
    <xf numFmtId="165" fontId="8" fillId="5" borderId="0" pivotButton="0" quotePrefix="0" xfId="0"/>
    <xf numFmtId="0" fontId="4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0" fillId="2" borderId="1" pivotButton="0" quotePrefix="0" xfId="0"/>
    <xf numFmtId="0" fontId="2" fillId="5" borderId="0" pivotButton="0" quotePrefix="0" xfId="0"/>
    <xf numFmtId="0" fontId="3" fillId="6" borderId="0" applyAlignment="1" pivotButton="0" quotePrefix="0" xfId="0">
      <alignment indent="2"/>
    </xf>
    <xf numFmtId="3" fontId="3" fillId="6" borderId="0" pivotButton="0" quotePrefix="0" xfId="0"/>
    <xf numFmtId="3" fontId="3" fillId="6" borderId="1" pivotButton="0" quotePrefix="0" xfId="0"/>
    <xf numFmtId="0" fontId="3" fillId="5" borderId="0" applyAlignment="1" pivotButton="0" quotePrefix="0" xfId="0">
      <alignment indent="2"/>
    </xf>
    <xf numFmtId="166" fontId="3" fillId="5" borderId="0" pivotButton="0" quotePrefix="0" xfId="0"/>
    <xf numFmtId="166" fontId="3" fillId="5" borderId="1" pivotButton="0" quotePrefix="0" xfId="0"/>
    <xf numFmtId="164" fontId="3" fillId="6" borderId="0" pivotButton="0" quotePrefix="0" xfId="0"/>
    <xf numFmtId="164" fontId="3" fillId="6" borderId="1" pivotButton="0" quotePrefix="0" xfId="0"/>
    <xf numFmtId="0" fontId="2" fillId="5" borderId="0" applyAlignment="1" pivotButton="0" quotePrefix="0" xfId="0">
      <alignment indent="2"/>
    </xf>
    <xf numFmtId="3" fontId="2" fillId="5" borderId="0" pivotButton="0" quotePrefix="0" xfId="0"/>
    <xf numFmtId="3" fontId="2" fillId="5" borderId="1" pivotButton="0" quotePrefix="0" xfId="0"/>
    <xf numFmtId="0" fontId="0" fillId="6" borderId="0" applyAlignment="1" pivotButton="0" quotePrefix="0" xfId="0">
      <alignment indent="2"/>
    </xf>
    <xf numFmtId="164" fontId="0" fillId="6" borderId="0" pivotButton="0" quotePrefix="0" xfId="0"/>
    <xf numFmtId="164" fontId="0" fillId="6" borderId="1" pivotButton="0" quotePrefix="0" xfId="0"/>
    <xf numFmtId="3" fontId="3" fillId="5" borderId="0" pivotButton="0" quotePrefix="0" xfId="0"/>
    <xf numFmtId="3" fontId="3" fillId="5" borderId="1" pivotButton="0" quotePrefix="0" xfId="0"/>
    <xf numFmtId="166" fontId="3" fillId="6" borderId="0" pivotButton="0" quotePrefix="0" xfId="0"/>
    <xf numFmtId="166" fontId="3" fillId="6" borderId="1" pivotButton="0" quotePrefix="0" xfId="0"/>
    <xf numFmtId="164" fontId="3" fillId="5" borderId="0" pivotButton="0" quotePrefix="0" xfId="0"/>
    <xf numFmtId="164" fontId="3" fillId="5" borderId="1" pivotButton="0" quotePrefix="0" xfId="0"/>
    <xf numFmtId="0" fontId="2" fillId="6" borderId="0" applyAlignment="1" pivotButton="0" quotePrefix="0" xfId="0">
      <alignment indent="2"/>
    </xf>
    <xf numFmtId="3" fontId="2" fillId="6" borderId="0" pivotButton="0" quotePrefix="0" xfId="0"/>
    <xf numFmtId="3" fontId="2" fillId="6" borderId="1" pivotButton="0" quotePrefix="0" xfId="0"/>
    <xf numFmtId="0" fontId="0" fillId="5" borderId="0" applyAlignment="1" pivotButton="0" quotePrefix="0" xfId="0">
      <alignment indent="2"/>
    </xf>
    <xf numFmtId="164" fontId="0" fillId="5" borderId="0" pivotButton="0" quotePrefix="0" xfId="0"/>
    <xf numFmtId="164" fontId="0" fillId="5" borderId="1" pivotButton="0" quotePrefix="0" xfId="0"/>
    <xf numFmtId="0" fontId="2" fillId="6" borderId="2" pivotButton="0" quotePrefix="0" xfId="0"/>
    <xf numFmtId="0" fontId="0" fillId="6" borderId="2" pivotButton="0" quotePrefix="0" xfId="0"/>
    <xf numFmtId="3" fontId="2" fillId="6" borderId="2" pivotButton="0" quotePrefix="0" xfId="0"/>
    <xf numFmtId="3" fontId="8" fillId="5" borderId="0" pivotButton="0" quotePrefix="0" xfId="0"/>
    <xf numFmtId="3" fontId="8" fillId="5" borderId="1" pivotButton="0" quotePrefix="0" xfId="0"/>
    <xf numFmtId="3" fontId="0" fillId="6" borderId="0" pivotButton="0" quotePrefix="0" xfId="0"/>
    <xf numFmtId="3" fontId="0" fillId="6" borderId="1" pivotButton="0" quotePrefix="0" xfId="0"/>
    <xf numFmtId="3" fontId="0" fillId="5" borderId="0" pivotButton="0" quotePrefix="0" xfId="0"/>
    <xf numFmtId="3" fontId="0" fillId="5" borderId="1" pivotButton="0" quotePrefix="0" xfId="0"/>
    <xf numFmtId="0" fontId="4" fillId="2" borderId="0" applyAlignment="1" pivotButton="0" quotePrefix="0" xfId="0">
      <alignment horizontal="center"/>
    </xf>
    <xf numFmtId="0" fontId="4" fillId="2" borderId="1" applyAlignment="1" pivotButton="0" quotePrefix="0" xfId="0">
      <alignment horizontal="center"/>
    </xf>
    <xf numFmtId="0" fontId="0" fillId="4" borderId="1" pivotButton="0" quotePrefix="0" xfId="0"/>
    <xf numFmtId="3" fontId="8" fillId="6" borderId="0" pivotButton="0" quotePrefix="0" xfId="0"/>
    <xf numFmtId="3" fontId="8" fillId="6" borderId="1" pivotButton="0" quotePrefix="0" xfId="0"/>
    <xf numFmtId="3" fontId="9" fillId="5" borderId="0" pivotButton="0" quotePrefix="0" xfId="0"/>
    <xf numFmtId="3" fontId="9" fillId="5" borderId="1" pivotButton="0" quotePrefix="0" xfId="0"/>
    <xf numFmtId="0" fontId="2" fillId="5" borderId="2" pivotButton="0" quotePrefix="0" xfId="0"/>
    <xf numFmtId="0" fontId="0" fillId="5" borderId="2" pivotButton="0" quotePrefix="0" xfId="0"/>
    <xf numFmtId="3" fontId="2" fillId="5" borderId="2" pivotButton="0" quotePrefix="0" xfId="0"/>
    <xf numFmtId="0" fontId="2" fillId="5" borderId="3" pivotButton="0" quotePrefix="0" xfId="0"/>
    <xf numFmtId="0" fontId="0" fillId="5" borderId="3" pivotButton="0" quotePrefix="0" xfId="0"/>
    <xf numFmtId="3" fontId="2" fillId="5" borderId="3" pivotButton="0" quotePrefix="0" xfId="0"/>
    <xf numFmtId="0" fontId="2" fillId="6" borderId="3" pivotButton="0" quotePrefix="0" xfId="0"/>
    <xf numFmtId="0" fontId="0" fillId="6" borderId="3" pivotButton="0" quotePrefix="0" xfId="0"/>
    <xf numFmtId="3" fontId="2" fillId="6" borderId="3" pivotButton="0" quotePrefix="0" xfId="0"/>
    <xf numFmtId="0" fontId="10" fillId="6" borderId="0" pivotButton="0" quotePrefix="0" xfId="0"/>
    <xf numFmtId="0" fontId="6" fillId="4" borderId="0" pivotButton="0" quotePrefix="0" xfId="0"/>
    <xf numFmtId="0" fontId="0" fillId="4" borderId="4" pivotButton="0" quotePrefix="0" xfId="0"/>
    <xf numFmtId="0" fontId="3" fillId="5" borderId="0" pivotButton="0" quotePrefix="0" xfId="0"/>
    <xf numFmtId="0" fontId="3" fillId="5" borderId="1" pivotButton="0" quotePrefix="0" xfId="0"/>
    <xf numFmtId="0" fontId="11" fillId="5" borderId="0" pivotButton="0" quotePrefix="0" xfId="0"/>
    <xf numFmtId="0" fontId="3" fillId="6" borderId="0" pivotButton="0" quotePrefix="0" xfId="0"/>
    <xf numFmtId="0" fontId="3" fillId="6" borderId="1" pivotButton="0" quotePrefix="0" xfId="0"/>
    <xf numFmtId="0" fontId="11" fillId="6" borderId="0" pivotButton="0" quotePrefix="0" xfId="0"/>
    <xf numFmtId="0" fontId="0" fillId="5" borderId="4" pivotButton="0" quotePrefix="0" xfId="0"/>
    <xf numFmtId="0" fontId="2" fillId="6" borderId="1" pivotButton="0" quotePrefix="0" xfId="0"/>
    <xf numFmtId="0" fontId="11" fillId="5" borderId="1" pivotButton="0" quotePrefix="0" xfId="0"/>
    <xf numFmtId="0" fontId="11" fillId="6" borderId="1" pivotButton="0" quotePrefix="0" xfId="0"/>
    <xf numFmtId="0" fontId="0" fillId="6" borderId="4" pivotButton="0" quotePrefix="0" xfId="0"/>
    <xf numFmtId="164" fontId="11" fillId="5" borderId="0" pivotButton="0" quotePrefix="0" xfId="0"/>
    <xf numFmtId="164" fontId="11" fillId="5" borderId="1" pivotButton="0" quotePrefix="0" xfId="0"/>
    <xf numFmtId="0" fontId="2" fillId="5" borderId="1" pivotButton="0" quotePrefix="0" xfId="0"/>
    <xf numFmtId="164" fontId="8" fillId="6" borderId="1" pivotButton="0" quotePrefix="0" xfId="0"/>
    <xf numFmtId="0" fontId="8" fillId="5" borderId="0" pivotButton="0" quotePrefix="0" xfId="0"/>
    <xf numFmtId="0" fontId="8" fillId="5" borderId="1" pivotButton="0" quotePrefix="0" xfId="0"/>
    <xf numFmtId="0" fontId="9" fillId="5" borderId="0" pivotButton="0" quotePrefix="0" xfId="0"/>
    <xf numFmtId="0" fontId="9" fillId="5" borderId="1" pivotButton="0" quotePrefix="0" xfId="0"/>
    <xf numFmtId="0" fontId="8" fillId="6" borderId="0" pivotButton="0" quotePrefix="0" xfId="0"/>
    <xf numFmtId="0" fontId="8" fillId="6" borderId="1" pivotButton="0" quotePrefix="0" xfId="0"/>
    <xf numFmtId="164" fontId="11" fillId="6" borderId="0" pivotButton="0" quotePrefix="0" xfId="0"/>
    <xf numFmtId="164" fontId="11" fillId="6" borderId="1" pivotButton="0" quotePrefix="0" xfId="0"/>
    <xf numFmtId="164" fontId="2" fillId="5" borderId="0" pivotButton="0" quotePrefix="0" xfId="0"/>
    <xf numFmtId="164" fontId="5" fillId="5" borderId="0" pivotButton="0" quotePrefix="0" xfId="0"/>
    <xf numFmtId="164" fontId="5" fillId="5" borderId="1" pivotButton="0" quotePrefix="0" xfId="0"/>
    <xf numFmtId="164" fontId="2" fillId="6" borderId="0" pivotButton="0" quotePrefix="0" xfId="0"/>
    <xf numFmtId="164" fontId="5" fillId="6" borderId="0" pivotButton="0" quotePrefix="0" xfId="0"/>
    <xf numFmtId="164" fontId="5" fillId="6" borderId="1" pivotButton="0" quotePrefix="0" xfId="0"/>
    <xf numFmtId="0" fontId="2" fillId="6" borderId="4" pivotButton="0" quotePrefix="0" xfId="0"/>
    <xf numFmtId="0" fontId="3" fillId="5" borderId="4" pivotButton="0" quotePrefix="0" xfId="0"/>
    <xf numFmtId="0" fontId="3" fillId="6" borderId="4" pivotButton="0" quotePrefix="0" xfId="0"/>
    <xf numFmtId="0" fontId="5" fillId="6" borderId="0" pivotButton="0" quotePrefix="0" xfId="0"/>
    <xf numFmtId="0" fontId="5" fillId="6" borderId="1" pivotButton="0" quotePrefix="0" xfId="0"/>
    <xf numFmtId="0" fontId="5" fillId="5" borderId="0" pivotButton="0" quotePrefix="0" xfId="0"/>
    <xf numFmtId="0" fontId="5" fillId="5" borderId="1" pivotButton="0" quotePrefix="0" xfId="0"/>
    <xf numFmtId="165" fontId="2" fillId="6" borderId="0" pivotButton="0" quotePrefix="0" xfId="0"/>
    <xf numFmtId="0" fontId="2" fillId="5" borderId="0" applyAlignment="1" pivotButton="0" quotePrefix="0" xfId="0">
      <alignment horizontal="center"/>
    </xf>
    <xf numFmtId="0" fontId="2" fillId="5" borderId="4" applyAlignment="1" pivotButton="0" quotePrefix="0" xfId="0">
      <alignment horizontal="center"/>
    </xf>
    <xf numFmtId="0" fontId="2" fillId="6" borderId="0" applyAlignment="1" pivotButton="0" quotePrefix="0" xfId="0">
      <alignment horizontal="center"/>
    </xf>
    <xf numFmtId="0" fontId="2" fillId="6" borderId="4" applyAlignment="1" pivotButton="0" quotePrefix="0" xfId="0">
      <alignment horizontal="center"/>
    </xf>
    <xf numFmtId="164" fontId="0" fillId="5" borderId="4" pivotButton="0" quotePrefix="0" xfId="0"/>
    <xf numFmtId="164" fontId="0" fillId="6" borderId="4" pivotButton="0" quotePrefix="0" xfId="0"/>
    <xf numFmtId="0" fontId="1" fillId="0" borderId="0" applyAlignment="1" pivotButton="0" quotePrefix="0" xfId="0">
      <alignment horizontal="left"/>
    </xf>
    <xf numFmtId="0" fontId="2" fillId="3" borderId="0" applyAlignment="1" pivotButton="0" quotePrefix="0" xfId="0">
      <alignment horizontal="center"/>
    </xf>
    <xf numFmtId="0" fontId="4" fillId="2" borderId="0" pivotButton="0" quotePrefix="0" xfId="0"/>
    <xf numFmtId="165" fontId="0" fillId="6" borderId="0" pivotButton="0" quotePrefix="0" xfId="0"/>
    <xf numFmtId="165" fontId="0" fillId="0" borderId="0" pivotButton="0" quotePrefix="0" xfId="0"/>
    <xf numFmtId="164" fontId="0" fillId="0" borderId="0" pivotButton="0" quotePrefix="0" xfId="0"/>
    <xf numFmtId="9" fontId="3" fillId="6" borderId="0" pivotButton="0" quotePrefix="0" xfId="0"/>
    <xf numFmtId="9" fontId="3" fillId="0" borderId="0" pivotButton="0" quotePrefix="0" xfId="0"/>
    <xf numFmtId="165" fontId="3" fillId="6" borderId="0" pivotButton="0" quotePrefix="0" xfId="0"/>
    <xf numFmtId="3" fontId="3" fillId="0" borderId="0" pivotButton="0" quotePrefix="0" xfId="0"/>
    <xf numFmtId="165" fontId="3" fillId="0" borderId="0" pivotButton="0" quotePrefix="0" xfId="0"/>
    <xf numFmtId="164" fontId="3" fillId="0" borderId="0" pivotButton="0" quotePrefix="0" xfId="0"/>
    <xf numFmtId="3" fontId="2" fillId="0" borderId="0" pivotButton="0" quotePrefix="0" xfId="0"/>
    <xf numFmtId="165" fontId="2" fillId="0" borderId="0" pivotButton="0" quotePrefix="0" xfId="0"/>
    <xf numFmtId="164" fontId="2" fillId="0" borderId="0" pivotButton="0" quotePrefix="0" xfId="0"/>
    <xf numFmtId="0" fontId="7" fillId="0" borderId="0" pivotButton="0" quotePrefix="0" xfId="0"/>
    <xf numFmtId="3" fontId="8" fillId="0" borderId="0" pivotButton="0" quotePrefix="0" xfId="0"/>
    <xf numFmtId="164" fontId="8" fillId="0" borderId="0" pivotButton="0" quotePrefix="0" xfId="0"/>
    <xf numFmtId="165" fontId="8" fillId="6" borderId="0" pivotButton="0" quotePrefix="0" xfId="0"/>
    <xf numFmtId="0" fontId="9" fillId="0" borderId="0" pivotButton="0" quotePrefix="0" xfId="0"/>
    <xf numFmtId="0" fontId="8" fillId="0" borderId="0" pivotButton="0" quotePrefix="0" xfId="0"/>
    <xf numFmtId="0" fontId="12" fillId="4" borderId="0" applyAlignment="1" pivotButton="0" quotePrefix="0" xfId="0">
      <alignment horizontal="center"/>
    </xf>
    <xf numFmtId="0" fontId="2" fillId="0" borderId="0" applyAlignment="1" pivotButton="0" quotePrefix="0" xfId="0">
      <alignment indent="1"/>
    </xf>
    <xf numFmtId="164" fontId="13" fillId="0" borderId="0" applyAlignment="1" pivotButton="0" quotePrefix="0" xfId="0">
      <alignment horizontal="center"/>
    </xf>
    <xf numFmtId="164" fontId="13" fillId="0" borderId="1" applyAlignment="1" pivotButton="0" quotePrefix="0" xfId="0">
      <alignment horizontal="center"/>
    </xf>
    <xf numFmtId="165" fontId="13" fillId="0" borderId="0" applyAlignment="1" pivotButton="0" quotePrefix="0" xfId="0">
      <alignment horizontal="center"/>
    </xf>
    <xf numFmtId="165" fontId="13" fillId="0" borderId="1" applyAlignment="1" pivotButton="0" quotePrefix="0" xfId="0">
      <alignment horizontal="center"/>
    </xf>
    <xf numFmtId="164" fontId="9" fillId="0" borderId="0" pivotButton="0" quotePrefix="0" xfId="0"/>
    <xf numFmtId="0" fontId="0" fillId="0" borderId="1" pivotButton="0" quotePrefix="0" xfId="0"/>
    <xf numFmtId="0" fontId="13" fillId="0" borderId="0" applyAlignment="1" pivotButton="0" quotePrefix="0" xfId="0">
      <alignment indent="2"/>
    </xf>
    <xf numFmtId="3" fontId="3" fillId="0" borderId="1" pivotButton="0" quotePrefix="0" xfId="0"/>
    <xf numFmtId="164" fontId="3" fillId="0" borderId="1" pivotButton="0" quotePrefix="0" xfId="0"/>
    <xf numFmtId="0" fontId="14" fillId="0" borderId="0" applyAlignment="1" pivotButton="0" quotePrefix="0" xfId="0">
      <alignment indent="2"/>
    </xf>
    <xf numFmtId="164" fontId="14" fillId="0" borderId="0" pivotButton="0" quotePrefix="0" xfId="0"/>
    <xf numFmtId="164" fontId="14" fillId="0" borderId="1" pivotButton="0" quotePrefix="0" xfId="0"/>
    <xf numFmtId="166" fontId="3" fillId="0" borderId="0" pivotButton="0" quotePrefix="0" xfId="0"/>
    <xf numFmtId="166" fontId="3" fillId="0" borderId="1" pivotButton="0" quotePrefix="0" xfId="0"/>
    <xf numFmtId="0" fontId="2" fillId="0" borderId="0" applyAlignment="1" pivotButton="0" quotePrefix="0" xfId="0">
      <alignment indent="2"/>
    </xf>
    <xf numFmtId="3" fontId="2" fillId="0" borderId="1" pivotButton="0" quotePrefix="0" xfId="0"/>
    <xf numFmtId="0" fontId="2" fillId="0" borderId="2" pivotButton="0" quotePrefix="0" xfId="0"/>
    <xf numFmtId="0" fontId="0" fillId="0" borderId="2" pivotButton="0" quotePrefix="0" xfId="0"/>
    <xf numFmtId="3" fontId="2" fillId="0" borderId="2" pivotButton="0" quotePrefix="0" xfId="0"/>
    <xf numFmtId="3" fontId="14" fillId="0" borderId="0" pivotButton="0" quotePrefix="0" xfId="0"/>
    <xf numFmtId="3" fontId="14" fillId="0" borderId="1" pivotButton="0" quotePrefix="0" xfId="0"/>
    <xf numFmtId="0" fontId="6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3" fontId="9" fillId="0" borderId="0" pivotButton="0" quotePrefix="0" xfId="0"/>
    <xf numFmtId="3" fontId="9" fillId="0" borderId="1" pivotButton="0" quotePrefix="0" xfId="0"/>
    <xf numFmtId="0" fontId="14" fillId="0" borderId="0" pivotButton="0" quotePrefix="0" xfId="0"/>
    <xf numFmtId="0" fontId="2" fillId="0" borderId="3" pivotButton="0" quotePrefix="0" xfId="0"/>
    <xf numFmtId="0" fontId="0" fillId="0" borderId="3" pivotButton="0" quotePrefix="0" xfId="0"/>
    <xf numFmtId="3" fontId="2" fillId="0" borderId="3" pivotButton="0" quotePrefix="0" xfId="0"/>
    <xf numFmtId="0" fontId="10" fillId="0" borderId="0" pivotButton="0" quotePrefix="0" xfId="0"/>
    <xf numFmtId="3" fontId="0" fillId="0" borderId="0" pivotButton="0" quotePrefix="0" xfId="0"/>
    <xf numFmtId="0" fontId="3" fillId="0" borderId="1" pivotButton="0" quotePrefix="0" xfId="0"/>
    <xf numFmtId="0" fontId="11" fillId="0" borderId="0" pivotButton="0" quotePrefix="0" xfId="0"/>
    <xf numFmtId="0" fontId="2" fillId="0" borderId="1" pivotButton="0" quotePrefix="0" xfId="0"/>
    <xf numFmtId="0" fontId="5" fillId="0" borderId="0" pivotButton="0" quotePrefix="0" xfId="0"/>
    <xf numFmtId="0" fontId="5" fillId="0" borderId="1" pivotButton="0" quotePrefix="0" xfId="0"/>
    <xf numFmtId="0" fontId="0" fillId="0" borderId="4" pivotButton="0" quotePrefix="0" xfId="0"/>
    <xf numFmtId="164" fontId="8" fillId="0" borderId="1" pivotButton="0" quotePrefix="0" xfId="0"/>
    <xf numFmtId="164" fontId="13" fillId="0" borderId="0" pivotButton="0" quotePrefix="0" xfId="0"/>
    <xf numFmtId="164" fontId="13" fillId="0" borderId="1" pivotButton="0" quotePrefix="0" xfId="0"/>
    <xf numFmtId="0" fontId="13" fillId="0" borderId="0" pivotButton="0" quotePrefix="0" xfId="0"/>
    <xf numFmtId="0" fontId="13" fillId="0" borderId="1" pivotButton="0" quotePrefix="0" xfId="0"/>
    <xf numFmtId="0" fontId="11" fillId="0" borderId="1" pivotButton="0" quotePrefix="0" xfId="0"/>
    <xf numFmtId="0" fontId="8" fillId="0" borderId="1" pivotButton="0" quotePrefix="0" xfId="0"/>
    <xf numFmtId="164" fontId="5" fillId="0" borderId="0" pivotButton="0" quotePrefix="0" xfId="0"/>
    <xf numFmtId="164" fontId="11" fillId="0" borderId="0" pivotButton="0" quotePrefix="0" xfId="0"/>
    <xf numFmtId="164" fontId="11" fillId="0" borderId="1" pivotButton="0" quotePrefix="0" xfId="0"/>
    <xf numFmtId="164" fontId="5" fillId="0" borderId="1" pivotButton="0" quotePrefix="0" xfId="0"/>
    <xf numFmtId="0" fontId="2" fillId="0" borderId="4" pivotButton="0" quotePrefix="0" xfId="0"/>
    <xf numFmtId="0" fontId="3" fillId="0" borderId="4" pivotButton="0" quotePrefix="0" xfId="0"/>
    <xf numFmtId="0" fontId="14" fillId="0" borderId="4" pivotButton="0" quotePrefix="0" xfId="0"/>
    <xf numFmtId="0" fontId="2" fillId="0" borderId="0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164" fontId="0" fillId="0" borderId="4" pivotButton="0" quotePrefix="0" xfId="0"/>
    <xf numFmtId="165" fontId="14" fillId="0" borderId="0" pivotButton="0" quotePrefix="0" xfId="0"/>
    <xf numFmtId="9" fontId="13" fillId="0" borderId="0" pivotButton="0" quotePrefix="0" xfId="0"/>
    <xf numFmtId="165" fontId="8" fillId="0" borderId="0" pivotButton="0" quotePrefix="0" xfId="0"/>
    <xf numFmtId="0" fontId="6" fillId="0" borderId="0" applyAlignment="1" pivotButton="0" quotePrefix="0" xfId="0">
      <alignment horizontal="right"/>
    </xf>
    <xf numFmtId="0" fontId="16" fillId="0" borderId="0" pivotButton="0" quotePrefix="0" xfId="0"/>
    <xf numFmtId="0" fontId="15" fillId="2" borderId="0" applyAlignment="1" pivotButton="0" quotePrefix="0" xfId="0">
      <alignment horizontal="center"/>
    </xf>
    <xf numFmtId="0" fontId="15" fillId="3" borderId="0" applyAlignment="1" pivotButton="0" quotePrefix="0" xfId="0">
      <alignment horizontal="center"/>
    </xf>
    <xf numFmtId="0" fontId="0" fillId="3" borderId="0" pivotButton="0" quotePrefix="0" xfId="0"/>
    <xf numFmtId="164" fontId="4" fillId="2" borderId="0" applyAlignment="1" pivotButton="0" quotePrefix="0" xfId="0">
      <alignment horizontal="center"/>
    </xf>
    <xf numFmtId="164" fontId="4" fillId="2" borderId="1" applyAlignment="1" pivotButton="0" quotePrefix="0" xfId="0">
      <alignment horizontal="center"/>
    </xf>
    <xf numFmtId="0" fontId="4" fillId="3" borderId="0" applyAlignment="1" pivotButton="0" quotePrefix="0" xfId="0">
      <alignment horizontal="center"/>
    </xf>
    <xf numFmtId="0" fontId="17" fillId="0" borderId="0" pivotButton="0" quotePrefix="0" xfId="0"/>
    <xf numFmtId="0" fontId="15" fillId="2" borderId="5" applyAlignment="1" pivotButton="0" quotePrefix="0" xfId="0">
      <alignment horizontal="center"/>
    </xf>
    <xf numFmtId="0" fontId="0" fillId="2" borderId="8" pivotButton="0" quotePrefix="0" xfId="0"/>
    <xf numFmtId="0" fontId="0" fillId="2" borderId="9" pivotButton="0" quotePrefix="0" xfId="0"/>
    <xf numFmtId="0" fontId="15" fillId="3" borderId="5" applyAlignment="1" pivotButton="0" quotePrefix="0" xfId="0">
      <alignment horizontal="center"/>
    </xf>
    <xf numFmtId="0" fontId="0" fillId="3" borderId="8" pivotButton="0" quotePrefix="0" xfId="0"/>
    <xf numFmtId="0" fontId="0" fillId="3" borderId="9" pivotButton="0" quotePrefix="0" xfId="0"/>
    <xf numFmtId="0" fontId="4" fillId="2" borderId="5" applyAlignment="1" pivotButton="0" quotePrefix="0" xfId="0">
      <alignment horizontal="center"/>
    </xf>
    <xf numFmtId="0" fontId="4" fillId="3" borderId="5" applyAlignment="1" pivotButton="0" quotePrefix="0" xfId="0">
      <alignment horizontal="center"/>
    </xf>
    <xf numFmtId="164" fontId="4" fillId="2" borderId="5" applyAlignment="1" pivotButton="0" quotePrefix="0" xfId="0">
      <alignment horizontal="center"/>
    </xf>
    <xf numFmtId="0" fontId="0" fillId="0" borderId="8" pivotButton="0" quotePrefix="0" xfId="0"/>
    <xf numFmtId="0" fontId="0" fillId="0" borderId="9" pivotButton="0" quotePrefix="0" xfId="0"/>
    <xf numFmtId="0" fontId="6" fillId="4" borderId="0" applyAlignment="1" pivotButton="0" quotePrefix="0" xfId="0">
      <alignment indent="1"/>
    </xf>
    <xf numFmtId="164" fontId="3" fillId="4" borderId="5" applyAlignment="1" pivotButton="0" quotePrefix="0" xfId="0">
      <alignment horizontal="center"/>
    </xf>
    <xf numFmtId="0" fontId="4" fillId="4" borderId="5" applyAlignment="1" pivotButton="0" quotePrefix="0" xfId="0">
      <alignment horizontal="center"/>
    </xf>
    <xf numFmtId="164" fontId="3" fillId="0" borderId="0" applyAlignment="1" pivotButton="0" quotePrefix="0" xfId="0">
      <alignment horizontal="center"/>
    </xf>
    <xf numFmtId="164" fontId="3" fillId="0" borderId="1" applyAlignment="1" pivotButton="0" quotePrefix="0" xfId="0">
      <alignment horizontal="center"/>
    </xf>
    <xf numFmtId="165" fontId="3" fillId="0" borderId="0" applyAlignment="1" pivotButton="0" quotePrefix="0" xfId="0">
      <alignment horizontal="center"/>
    </xf>
    <xf numFmtId="165" fontId="3" fillId="0" borderId="1" applyAlignment="1" pivotButton="0" quotePrefix="0" xfId="0">
      <alignment horizontal="center"/>
    </xf>
    <xf numFmtId="0" fontId="1" fillId="0" borderId="0" pivotButton="0" quotePrefix="0" xfId="0"/>
    <xf numFmtId="0" fontId="3" fillId="4" borderId="0" pivotButton="0" quotePrefix="0" xfId="0"/>
    <xf numFmtId="0" fontId="4" fillId="3" borderId="0" pivotButton="0" quotePrefix="0" xfId="0"/>
    <xf numFmtId="0" fontId="7" fillId="0" borderId="5" applyAlignment="1" pivotButton="0" quotePrefix="0" xfId="0">
      <alignment horizontal="center"/>
    </xf>
    <xf numFmtId="0" fontId="4" fillId="2" borderId="5" pivotButton="0" quotePrefix="0" xfId="0"/>
    <xf numFmtId="0" fontId="0" fillId="2" borderId="5" pivotButton="0" quotePrefix="0" xfId="0"/>
    <xf numFmtId="0" fontId="18" fillId="0" borderId="0" pivotButton="0" quotePrefix="0" xfId="0"/>
    <xf numFmtId="0" fontId="19" fillId="0" borderId="0" pivotButton="0" quotePrefix="0" xfId="0"/>
    <xf numFmtId="164" fontId="20" fillId="0" borderId="0" pivotButton="0" quotePrefix="0" xfId="0"/>
    <xf numFmtId="0" fontId="13" fillId="4" borderId="0" pivotButton="0" quotePrefix="0" xfId="0"/>
    <xf numFmtId="0" fontId="16" fillId="0" borderId="10" pivotButton="0" quotePrefix="0" xfId="0"/>
    <xf numFmtId="3" fontId="16" fillId="0" borderId="10" pivotButton="0" quotePrefix="0" xfId="0"/>
    <xf numFmtId="3" fontId="7" fillId="0" borderId="0" pivotButton="0" quotePrefix="0" xfId="0"/>
    <xf numFmtId="3" fontId="2" fillId="0" borderId="11" pivotButton="0" quotePrefix="0" xfId="0"/>
    <xf numFmtId="0" fontId="21" fillId="4" borderId="0" pivotButton="0" quotePrefix="0" xfId="0"/>
    <xf numFmtId="164" fontId="22" fillId="4" borderId="0" pivotButton="0" quotePrefix="0" xfId="0"/>
    <xf numFmtId="165" fontId="22" fillId="4" borderId="0" pivotButton="0" quotePrefix="0" xfId="0"/>
    <xf numFmtId="3" fontId="4" fillId="2" borderId="5" applyAlignment="1" pivotButton="0" quotePrefix="0" xfId="0">
      <alignment horizontal="center"/>
    </xf>
    <xf numFmtId="165" fontId="7" fillId="0" borderId="0" applyAlignment="1" pivotButton="0" quotePrefix="0" xfId="0">
      <alignment horizontal="center"/>
    </xf>
    <xf numFmtId="165" fontId="2" fillId="7" borderId="0" applyAlignment="1" pivotButton="0" quotePrefix="0" xfId="0">
      <alignment horizontal="center"/>
    </xf>
    <xf numFmtId="164" fontId="7" fillId="0" borderId="0" applyAlignment="1" pivotButton="0" quotePrefix="0" xfId="0">
      <alignment horizontal="center"/>
    </xf>
    <xf numFmtId="164" fontId="2" fillId="7" borderId="0" applyAlignment="1" pivotButton="0" quotePrefix="0" xfId="0">
      <alignment horizontal="center"/>
    </xf>
    <xf numFmtId="0" fontId="7" fillId="0" borderId="0" applyAlignment="1" pivotButton="0" quotePrefix="0" xfId="0">
      <alignment indent="1"/>
    </xf>
    <xf numFmtId="164" fontId="3" fillId="0" borderId="5" applyAlignment="1" pivotButton="0" quotePrefix="0" xfId="0">
      <alignment horizontal="center"/>
    </xf>
    <xf numFmtId="0" fontId="4" fillId="3" borderId="5" pivotButton="0" quotePrefix="0" xfId="0"/>
    <xf numFmtId="3" fontId="16" fillId="0" borderId="0" pivotButton="0" quotePrefix="0" xfId="0"/>
    <xf numFmtId="164" fontId="16" fillId="0" borderId="0" pivotButton="0" quotePrefix="0" xfId="0"/>
    <xf numFmtId="0" fontId="6" fillId="0" borderId="0" pivotButton="0" quotePrefix="0" xfId="0"/>
    <xf numFmtId="165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167" fontId="3" fillId="0" borderId="0" pivotButton="0" quotePrefix="0" xfId="0"/>
  </cellXfs>
  <cellStyles count="1">
    <cellStyle name="Normal" xfId="0" builtinId="0" hidden="0"/>
  </cellStyles>
  <dxfs count="4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  <dxf>
      <font>
        <b val="1"/>
        <color rgb="00006100"/>
      </font>
      <fill>
        <patternFill patternType="solid">
          <fgColor rgb="00E2EFDA"/>
          <bgColor rgb="00E2EFDA"/>
        </patternFill>
      </fill>
    </dxf>
    <dxf>
      <font>
        <b val="1"/>
        <color rgb="009C0006"/>
      </font>
      <fill>
        <patternFill patternType="solid">
          <fgColor rgb="00FCE4EC"/>
          <b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40" customWidth="1" min="3" max="3"/>
  </cols>
  <sheetData>
    <row r="1">
      <c r="A1" s="1" t="inlineStr">
        <is>
          <t>Financial Model</t>
        </is>
      </c>
    </row>
    <row r="3">
      <c r="B3" s="2" t="inlineStr">
        <is>
          <t>Company</t>
        </is>
      </c>
      <c r="C3" s="3" t="n"/>
    </row>
    <row r="5">
      <c r="B5" s="2" t="inlineStr">
        <is>
          <t>Industry</t>
        </is>
      </c>
      <c r="C5" s="3" t="n"/>
    </row>
    <row r="7">
      <c r="B7" s="2" t="inlineStr">
        <is>
          <t>Date</t>
        </is>
      </c>
      <c r="C7" s="3" t="n"/>
    </row>
    <row r="9">
      <c r="B9" s="2" t="inlineStr">
        <is>
          <t>Analyst</t>
        </is>
      </c>
      <c r="C9" s="3" t="n"/>
    </row>
    <row r="11">
      <c r="B11" s="2" t="inlineStr">
        <is>
          <t>FX Rate</t>
        </is>
      </c>
      <c r="C11" s="3" t="n"/>
    </row>
    <row r="13">
      <c r="B13" s="2" t="inlineStr">
        <is>
          <t>Currency</t>
        </is>
      </c>
      <c r="C13" s="3" t="n"/>
    </row>
  </sheetData>
  <mergeCells count="1"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70C0"/>
    <outlinePr summaryBelow="1" summaryRight="1"/>
    <pageSetUpPr/>
  </sheetPr>
  <dimension ref="A1:M93"/>
  <sheetViews>
    <sheetView showGridLines="0" workbookViewId="0">
      <pane xSplit="3" ySplit="3" topLeftCell="D4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8" customWidth="1" min="1" max="1"/>
    <col width="10" customWidth="1" min="2" max="2"/>
    <col width="15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Key Assumptions</t>
        </is>
      </c>
      <c r="B1" s="2" t="n"/>
      <c r="C1" s="4" t="n"/>
      <c r="L1" s="210" t="inlineStr">
        <is>
          <t>Scenario:</t>
        </is>
      </c>
      <c r="M1" s="211" t="inlineStr">
        <is>
          <t>Base</t>
        </is>
      </c>
    </row>
    <row r="2">
      <c r="A2" s="5" t="inlineStr">
        <is>
          <t>Scenario Assumptions</t>
        </is>
      </c>
      <c r="B2" s="6" t="n"/>
      <c r="C2" s="6" t="n"/>
      <c r="D2" s="219" t="inlineStr">
        <is>
          <t>Historical</t>
        </is>
      </c>
      <c r="E2" s="228" t="n"/>
      <c r="F2" s="229" t="n"/>
      <c r="G2" s="222" t="inlineStr">
        <is>
          <t>Forecast</t>
        </is>
      </c>
      <c r="H2" s="228" t="n"/>
      <c r="I2" s="228" t="n"/>
      <c r="J2" s="228" t="n"/>
      <c r="K2" s="228" t="n"/>
      <c r="L2" s="228" t="n"/>
      <c r="M2" s="229" t="n"/>
    </row>
    <row r="3">
      <c r="D3" s="225" t="inlineStr">
        <is>
          <t>FY2023</t>
        </is>
      </c>
      <c r="E3" s="225" t="inlineStr">
        <is>
          <t>FY2024</t>
        </is>
      </c>
      <c r="F3" s="225" t="inlineStr">
        <is>
          <t>FY2025</t>
        </is>
      </c>
      <c r="G3" s="226" t="inlineStr">
        <is>
          <t>FY2026E</t>
        </is>
      </c>
      <c r="H3" s="226" t="inlineStr">
        <is>
          <t>FY2027E</t>
        </is>
      </c>
      <c r="I3" s="226" t="inlineStr">
        <is>
          <t>FY2028E</t>
        </is>
      </c>
      <c r="J3" s="226" t="inlineStr">
        <is>
          <t>FY2029E</t>
        </is>
      </c>
      <c r="K3" s="226" t="inlineStr">
        <is>
          <t>FY2030E</t>
        </is>
      </c>
      <c r="L3" s="226" t="inlineStr">
        <is>
          <t>FY2031E</t>
        </is>
      </c>
      <c r="M3" s="226" t="inlineStr">
        <is>
          <t>FY2032E</t>
        </is>
      </c>
    </row>
    <row r="4">
      <c r="A4" s="259" t="inlineStr">
        <is>
          <t>Rev Growth Override</t>
        </is>
      </c>
      <c r="B4" s="145" t="n"/>
      <c r="C4" s="145" t="n"/>
      <c r="D4" s="260" t="n">
        <v>0.3</v>
      </c>
      <c r="E4" s="260" t="n">
        <v>0.4</v>
      </c>
      <c r="F4" s="260" t="n">
        <v>0.2</v>
      </c>
      <c r="G4" s="240" t="n"/>
      <c r="H4" s="240" t="n"/>
      <c r="I4" s="240" t="n"/>
      <c r="J4" s="240" t="n"/>
      <c r="K4" s="240" t="n"/>
      <c r="L4" s="240" t="n"/>
      <c r="M4" s="240" t="n"/>
    </row>
    <row r="5">
      <c r="A5" s="152" t="inlineStr">
        <is>
          <t>Gross Margin Adj</t>
        </is>
      </c>
      <c r="D5" s="233" t="n">
        <v>0</v>
      </c>
      <c r="E5" s="233" t="n">
        <v>0.02</v>
      </c>
      <c r="F5" s="234" t="n">
        <v>-0.03</v>
      </c>
      <c r="G5" s="4" t="n"/>
      <c r="H5" s="4" t="n"/>
      <c r="I5" s="4" t="n"/>
      <c r="J5" s="4" t="n"/>
      <c r="K5" s="4" t="n"/>
      <c r="L5" s="4" t="n"/>
      <c r="M5" s="4" t="n"/>
    </row>
    <row r="6">
      <c r="A6" s="8" t="inlineStr">
        <is>
          <t>SG&amp;A % of Rev</t>
        </is>
      </c>
      <c r="B6" s="9" t="n"/>
      <c r="C6" s="9" t="n"/>
      <c r="D6" s="17" t="n">
        <v>0.15</v>
      </c>
      <c r="E6" s="17" t="n">
        <v>0.13</v>
      </c>
      <c r="F6" s="18" t="n">
        <v>0.18</v>
      </c>
      <c r="G6" s="87" t="n"/>
      <c r="H6" s="87" t="n"/>
      <c r="I6" s="87" t="n"/>
      <c r="J6" s="87" t="n"/>
      <c r="K6" s="87" t="n"/>
      <c r="L6" s="87" t="n"/>
      <c r="M6" s="87" t="n"/>
    </row>
    <row r="7">
      <c r="A7" s="152" t="inlineStr">
        <is>
          <t>Exit Multiple</t>
        </is>
      </c>
      <c r="D7" s="235" t="n">
        <v>12</v>
      </c>
      <c r="E7" s="235" t="n">
        <v>15</v>
      </c>
      <c r="F7" s="236" t="n">
        <v>9</v>
      </c>
      <c r="G7" s="4" t="n"/>
      <c r="H7" s="4" t="n"/>
      <c r="I7" s="4" t="n"/>
      <c r="J7" s="4" t="n"/>
      <c r="K7" s="4" t="n"/>
      <c r="L7" s="4" t="n"/>
      <c r="M7" s="4" t="n"/>
    </row>
    <row r="8">
      <c r="A8" s="9" t="n"/>
      <c r="B8" s="9" t="n"/>
      <c r="C8" s="9" t="n"/>
      <c r="D8" s="87" t="n"/>
      <c r="E8" s="87" t="n"/>
      <c r="F8" s="88" t="n"/>
      <c r="G8" s="87" t="n"/>
      <c r="H8" s="87" t="n"/>
      <c r="I8" s="87" t="n"/>
      <c r="J8" s="87" t="n"/>
      <c r="K8" s="87" t="n"/>
      <c r="L8" s="87" t="n"/>
      <c r="M8" s="87" t="n"/>
    </row>
    <row r="9">
      <c r="A9" s="2" t="inlineStr">
        <is>
          <t>Active Values →</t>
        </is>
      </c>
      <c r="B9" s="2" t="inlineStr">
        <is>
          <t>Rev Growth Override</t>
        </is>
      </c>
      <c r="D9" s="141">
        <f>INDEX(D3:F3,MATCH($C$1,{"Base","Upside","Downside"},0))</f>
        <v/>
      </c>
      <c r="E9" s="4" t="n"/>
      <c r="F9" s="184" t="n"/>
      <c r="G9" s="4" t="n"/>
      <c r="H9" s="4" t="n"/>
      <c r="I9" s="4" t="n"/>
      <c r="J9" s="4" t="n"/>
      <c r="K9" s="4" t="n"/>
      <c r="L9" s="4" t="n"/>
      <c r="M9" s="4" t="n"/>
    </row>
    <row r="10">
      <c r="A10" s="9" t="inlineStr"/>
      <c r="B10" s="26" t="inlineStr">
        <is>
          <t>Gross Margin Adj</t>
        </is>
      </c>
      <c r="C10" s="9" t="n"/>
      <c r="D10" s="27">
        <f>INDEX(D4:F4,MATCH($C$1,{"Base","Upside","Downside"},0))</f>
        <v/>
      </c>
      <c r="E10" s="9" t="n"/>
      <c r="F10" s="21" t="n"/>
      <c r="G10" s="9" t="n"/>
      <c r="H10" s="9" t="n"/>
      <c r="I10" s="9" t="n"/>
      <c r="J10" s="9" t="n"/>
      <c r="K10" s="9" t="n"/>
      <c r="L10" s="9" t="n"/>
      <c r="M10" s="9" t="n"/>
    </row>
    <row r="11">
      <c r="B11" s="2" t="inlineStr">
        <is>
          <t>SG&amp;A % of Rev</t>
        </is>
      </c>
      <c r="D11" s="157">
        <f>INDEX(D5:F5,MATCH($C$1,{"Base","Upside","Downside"},0))</f>
        <v/>
      </c>
      <c r="F11" s="158" t="n"/>
    </row>
    <row r="12">
      <c r="A12" s="9" t="inlineStr"/>
      <c r="B12" s="26" t="inlineStr">
        <is>
          <t>Exit Multiple</t>
        </is>
      </c>
      <c r="C12" s="9" t="n"/>
      <c r="D12" s="28">
        <f>INDEX(D6:F6,MATCH($C$1,{"Base","Upside","Downside"},0))</f>
        <v/>
      </c>
      <c r="E12" s="9" t="n"/>
      <c r="F12" s="21" t="n"/>
      <c r="G12" s="9" t="n"/>
      <c r="H12" s="9" t="n"/>
      <c r="I12" s="9" t="n"/>
      <c r="J12" s="9" t="n"/>
      <c r="K12" s="9" t="n"/>
      <c r="L12" s="9" t="n"/>
      <c r="M12" s="9" t="n"/>
    </row>
    <row r="13"/>
    <row r="14">
      <c r="A14" s="29" t="inlineStr">
        <is>
          <t>REVENUE DRIVERS</t>
        </is>
      </c>
    </row>
    <row r="15" outlineLevel="1">
      <c r="A15" s="32" t="inlineStr">
        <is>
          <t>Segment A</t>
        </is>
      </c>
      <c r="B15" s="9" t="n"/>
      <c r="C15" s="9" t="n"/>
      <c r="D15" s="9" t="n"/>
      <c r="E15" s="9" t="n"/>
      <c r="F15" s="21" t="n"/>
      <c r="G15" s="9" t="n"/>
      <c r="H15" s="9" t="n"/>
      <c r="I15" s="9" t="n"/>
      <c r="J15" s="9" t="n"/>
      <c r="K15" s="9" t="n"/>
      <c r="L15" s="9" t="n"/>
      <c r="M15" s="9" t="n"/>
    </row>
    <row r="16" outlineLevel="1">
      <c r="A16" s="159" t="inlineStr">
        <is>
          <t xml:space="preserve">  Volume</t>
        </is>
      </c>
      <c r="D16" s="139" t="n"/>
      <c r="E16" s="139" t="n"/>
      <c r="F16" s="160" t="n"/>
      <c r="G16" s="139" t="n"/>
      <c r="H16" s="139" t="n"/>
      <c r="I16" s="139" t="n"/>
      <c r="J16" s="139" t="n"/>
      <c r="K16" s="139" t="n"/>
      <c r="L16" s="139" t="n"/>
      <c r="M16" s="139" t="n"/>
    </row>
    <row r="17" outlineLevel="1">
      <c r="A17" s="36" t="inlineStr">
        <is>
          <t xml:space="preserve">  Price</t>
        </is>
      </c>
      <c r="B17" s="9" t="n"/>
      <c r="C17" s="9" t="n"/>
      <c r="D17" s="37" t="n"/>
      <c r="E17" s="37" t="n"/>
      <c r="F17" s="38" t="n"/>
      <c r="G17" s="37" t="n"/>
      <c r="H17" s="37" t="n"/>
      <c r="I17" s="37" t="n"/>
      <c r="J17" s="37" t="n"/>
      <c r="K17" s="37" t="n"/>
      <c r="L17" s="37" t="n"/>
      <c r="M17" s="37" t="n"/>
    </row>
    <row r="18" outlineLevel="1">
      <c r="A18" s="159" t="inlineStr">
        <is>
          <t xml:space="preserve">  Utilization %</t>
        </is>
      </c>
      <c r="D18" s="141" t="n"/>
      <c r="E18" s="141" t="n"/>
      <c r="F18" s="161" t="n"/>
      <c r="G18" s="141" t="n"/>
      <c r="H18" s="141" t="n"/>
      <c r="I18" s="141" t="n"/>
      <c r="J18" s="141" t="n"/>
      <c r="K18" s="141" t="n"/>
      <c r="L18" s="141" t="n"/>
      <c r="M18" s="141" t="n"/>
    </row>
    <row r="19" outlineLevel="1">
      <c r="A19" s="41" t="inlineStr">
        <is>
          <t xml:space="preserve">  Revenue</t>
        </is>
      </c>
      <c r="B19" s="9" t="n"/>
      <c r="C19" s="9" t="n"/>
      <c r="D19" s="42">
        <f>D15*D16*D17</f>
        <v/>
      </c>
      <c r="E19" s="42">
        <f>E15*E16*E17</f>
        <v/>
      </c>
      <c r="F19" s="43">
        <f>F15*F16*F17</f>
        <v/>
      </c>
      <c r="G19" s="42">
        <f>G15*G16*G17</f>
        <v/>
      </c>
      <c r="H19" s="42">
        <f>H15*H16*H17</f>
        <v/>
      </c>
      <c r="I19" s="42">
        <f>I15*I16*I17</f>
        <v/>
      </c>
      <c r="J19" s="42">
        <f>J15*J16*J17</f>
        <v/>
      </c>
      <c r="K19" s="42">
        <f>K15*K16*K17</f>
        <v/>
      </c>
      <c r="L19" s="42">
        <f>L15*L16*L17</f>
        <v/>
      </c>
      <c r="M19" s="42">
        <f>M15*M16*M17</f>
        <v/>
      </c>
    </row>
    <row r="20">
      <c r="A20" s="162" t="inlineStr">
        <is>
          <t xml:space="preserve">  Growth %</t>
        </is>
      </c>
      <c r="E20" s="163">
        <f>IF(D18=0,"",E18/D18-1)</f>
        <v/>
      </c>
      <c r="F20" s="164">
        <f>IF(E18=0,"",F18/E18-1)</f>
        <v/>
      </c>
      <c r="G20" s="163">
        <f>IF(F18=0,"",G18/F18-1)</f>
        <v/>
      </c>
      <c r="H20" s="163">
        <f>IF(G18=0,"",H18/G18-1)</f>
        <v/>
      </c>
      <c r="I20" s="163">
        <f>IF(H18=0,"",I18/H18-1)</f>
        <v/>
      </c>
      <c r="J20" s="163">
        <f>IF(I18=0,"",J18/I18-1)</f>
        <v/>
      </c>
      <c r="K20" s="163">
        <f>IF(J18=0,"",K18/J18-1)</f>
        <v/>
      </c>
      <c r="L20" s="163">
        <f>IF(K18=0,"",L18/K18-1)</f>
        <v/>
      </c>
      <c r="M20" s="163">
        <f>IF(L18=0,"",M18/L18-1)</f>
        <v/>
      </c>
    </row>
    <row r="21">
      <c r="A21" s="9" t="n"/>
      <c r="B21" s="9" t="n"/>
      <c r="C21" s="9" t="n"/>
      <c r="D21" s="9" t="n"/>
      <c r="E21" s="9" t="n"/>
      <c r="F21" s="21" t="n"/>
      <c r="G21" s="9" t="n"/>
      <c r="H21" s="9" t="n"/>
      <c r="I21" s="9" t="n"/>
      <c r="J21" s="9" t="n"/>
      <c r="K21" s="9" t="n"/>
      <c r="L21" s="9" t="n"/>
      <c r="M21" s="9" t="n"/>
    </row>
    <row r="22" outlineLevel="1">
      <c r="A22" s="2" t="inlineStr">
        <is>
          <t>Segment B</t>
        </is>
      </c>
      <c r="F22" s="158" t="n"/>
    </row>
    <row r="23" outlineLevel="1">
      <c r="A23" s="36" t="inlineStr">
        <is>
          <t xml:space="preserve">  Volume</t>
        </is>
      </c>
      <c r="B23" s="9" t="n"/>
      <c r="C23" s="9" t="n"/>
      <c r="D23" s="47" t="n"/>
      <c r="E23" s="47" t="n"/>
      <c r="F23" s="48" t="n"/>
      <c r="G23" s="47" t="n"/>
      <c r="H23" s="47" t="n"/>
      <c r="I23" s="47" t="n"/>
      <c r="J23" s="47" t="n"/>
      <c r="K23" s="47" t="n"/>
      <c r="L23" s="47" t="n"/>
      <c r="M23" s="47" t="n"/>
    </row>
    <row r="24" outlineLevel="1">
      <c r="A24" s="159" t="inlineStr">
        <is>
          <t xml:space="preserve">  Price</t>
        </is>
      </c>
      <c r="D24" s="165" t="n"/>
      <c r="E24" s="165" t="n"/>
      <c r="F24" s="166" t="n"/>
      <c r="G24" s="165" t="n"/>
      <c r="H24" s="165" t="n"/>
      <c r="I24" s="165" t="n"/>
      <c r="J24" s="165" t="n"/>
      <c r="K24" s="165" t="n"/>
      <c r="L24" s="165" t="n"/>
      <c r="M24" s="165" t="n"/>
    </row>
    <row r="25" outlineLevel="1">
      <c r="A25" s="36" t="inlineStr">
        <is>
          <t xml:space="preserve">  Utilization %</t>
        </is>
      </c>
      <c r="B25" s="9" t="n"/>
      <c r="C25" s="9" t="n"/>
      <c r="D25" s="51" t="n"/>
      <c r="E25" s="51" t="n"/>
      <c r="F25" s="52" t="n"/>
      <c r="G25" s="51" t="n"/>
      <c r="H25" s="51" t="n"/>
      <c r="I25" s="51" t="n"/>
      <c r="J25" s="51" t="n"/>
      <c r="K25" s="51" t="n"/>
      <c r="L25" s="51" t="n"/>
      <c r="M25" s="51" t="n"/>
    </row>
    <row r="26" outlineLevel="1">
      <c r="A26" s="167" t="inlineStr">
        <is>
          <t xml:space="preserve">  Revenue</t>
        </is>
      </c>
      <c r="D26" s="142">
        <f>D22*D23*D24</f>
        <v/>
      </c>
      <c r="E26" s="142">
        <f>E22*E23*E24</f>
        <v/>
      </c>
      <c r="F26" s="168">
        <f>F22*F23*F24</f>
        <v/>
      </c>
      <c r="G26" s="142">
        <f>G22*G23*G24</f>
        <v/>
      </c>
      <c r="H26" s="142">
        <f>H22*H23*H24</f>
        <v/>
      </c>
      <c r="I26" s="142">
        <f>I22*I23*I24</f>
        <v/>
      </c>
      <c r="J26" s="142">
        <f>J22*J23*J24</f>
        <v/>
      </c>
      <c r="K26" s="142">
        <f>K22*K23*K24</f>
        <v/>
      </c>
      <c r="L26" s="142">
        <f>L22*L23*L24</f>
        <v/>
      </c>
      <c r="M26" s="142">
        <f>M22*M23*M24</f>
        <v/>
      </c>
    </row>
    <row r="27">
      <c r="A27" s="56" t="inlineStr">
        <is>
          <t xml:space="preserve">  Growth %</t>
        </is>
      </c>
      <c r="B27" s="9" t="n"/>
      <c r="C27" s="9" t="n"/>
      <c r="D27" s="9" t="n"/>
      <c r="E27" s="57">
        <f>IF(D25=0,"",E25/D25-1)</f>
        <v/>
      </c>
      <c r="F27" s="58">
        <f>IF(E25=0,"",F25/E25-1)</f>
        <v/>
      </c>
      <c r="G27" s="57">
        <f>IF(F25=0,"",G25/F25-1)</f>
        <v/>
      </c>
      <c r="H27" s="57">
        <f>IF(G25=0,"",H25/G25-1)</f>
        <v/>
      </c>
      <c r="I27" s="57">
        <f>IF(H25=0,"",I25/H25-1)</f>
        <v/>
      </c>
      <c r="J27" s="57">
        <f>IF(I25=0,"",J25/I25-1)</f>
        <v/>
      </c>
      <c r="K27" s="57">
        <f>IF(J25=0,"",K25/J25-1)</f>
        <v/>
      </c>
      <c r="L27" s="57">
        <f>IF(K25=0,"",L25/K25-1)</f>
        <v/>
      </c>
      <c r="M27" s="57">
        <f>IF(L25=0,"",M25/L25-1)</f>
        <v/>
      </c>
    </row>
    <row r="28">
      <c r="F28" s="158" t="n"/>
    </row>
    <row r="29" outlineLevel="1">
      <c r="A29" s="32" t="inlineStr">
        <is>
          <t>Segment C</t>
        </is>
      </c>
      <c r="B29" s="9" t="n"/>
      <c r="C29" s="9" t="n"/>
      <c r="D29" s="9" t="n"/>
      <c r="E29" s="9" t="n"/>
      <c r="F29" s="21" t="n"/>
      <c r="G29" s="9" t="n"/>
      <c r="H29" s="9" t="n"/>
      <c r="I29" s="9" t="n"/>
      <c r="J29" s="9" t="n"/>
      <c r="K29" s="9" t="n"/>
      <c r="L29" s="9" t="n"/>
      <c r="M29" s="9" t="n"/>
    </row>
    <row r="30" outlineLevel="1">
      <c r="A30" s="159" t="inlineStr">
        <is>
          <t xml:space="preserve">  Volume</t>
        </is>
      </c>
      <c r="D30" s="139" t="n"/>
      <c r="E30" s="139" t="n"/>
      <c r="F30" s="160" t="n"/>
      <c r="G30" s="139" t="n"/>
      <c r="H30" s="139" t="n"/>
      <c r="I30" s="139" t="n"/>
      <c r="J30" s="139" t="n"/>
      <c r="K30" s="139" t="n"/>
      <c r="L30" s="139" t="n"/>
      <c r="M30" s="139" t="n"/>
    </row>
    <row r="31" outlineLevel="1">
      <c r="A31" s="36" t="inlineStr">
        <is>
          <t xml:space="preserve">  Price</t>
        </is>
      </c>
      <c r="B31" s="9" t="n"/>
      <c r="C31" s="9" t="n"/>
      <c r="D31" s="37" t="n"/>
      <c r="E31" s="37" t="n"/>
      <c r="F31" s="38" t="n"/>
      <c r="G31" s="37" t="n"/>
      <c r="H31" s="37" t="n"/>
      <c r="I31" s="37" t="n"/>
      <c r="J31" s="37" t="n"/>
      <c r="K31" s="37" t="n"/>
      <c r="L31" s="37" t="n"/>
      <c r="M31" s="37" t="n"/>
    </row>
    <row r="32" outlineLevel="1">
      <c r="A32" s="159" t="inlineStr">
        <is>
          <t xml:space="preserve">  Utilization %</t>
        </is>
      </c>
      <c r="D32" s="141" t="n"/>
      <c r="E32" s="141" t="n"/>
      <c r="F32" s="161" t="n"/>
      <c r="G32" s="141" t="n"/>
      <c r="H32" s="141" t="n"/>
      <c r="I32" s="141" t="n"/>
      <c r="J32" s="141" t="n"/>
      <c r="K32" s="141" t="n"/>
      <c r="L32" s="141" t="n"/>
      <c r="M32" s="141" t="n"/>
    </row>
    <row r="33" outlineLevel="1">
      <c r="A33" s="41" t="inlineStr">
        <is>
          <t xml:space="preserve">  Revenue</t>
        </is>
      </c>
      <c r="B33" s="9" t="n"/>
      <c r="C33" s="9" t="n"/>
      <c r="D33" s="42">
        <f>D29*D30*D31</f>
        <v/>
      </c>
      <c r="E33" s="42">
        <f>E29*E30*E31</f>
        <v/>
      </c>
      <c r="F33" s="43">
        <f>F29*F30*F31</f>
        <v/>
      </c>
      <c r="G33" s="42">
        <f>G29*G30*G31</f>
        <v/>
      </c>
      <c r="H33" s="42">
        <f>H29*H30*H31</f>
        <v/>
      </c>
      <c r="I33" s="42">
        <f>I29*I30*I31</f>
        <v/>
      </c>
      <c r="J33" s="42">
        <f>J29*J30*J31</f>
        <v/>
      </c>
      <c r="K33" s="42">
        <f>K29*K30*K31</f>
        <v/>
      </c>
      <c r="L33" s="42">
        <f>L29*L30*L31</f>
        <v/>
      </c>
      <c r="M33" s="42">
        <f>M29*M30*M31</f>
        <v/>
      </c>
    </row>
    <row r="34">
      <c r="A34" s="162" t="inlineStr">
        <is>
          <t xml:space="preserve">  Growth %</t>
        </is>
      </c>
      <c r="E34" s="163">
        <f>IF(D32=0,"",E32/D32-1)</f>
        <v/>
      </c>
      <c r="F34" s="164">
        <f>IF(E32=0,"",F32/E32-1)</f>
        <v/>
      </c>
      <c r="G34" s="163">
        <f>IF(F32=0,"",G32/F32-1)</f>
        <v/>
      </c>
      <c r="H34" s="163">
        <f>IF(G32=0,"",H32/G32-1)</f>
        <v/>
      </c>
      <c r="I34" s="163">
        <f>IF(H32=0,"",I32/H32-1)</f>
        <v/>
      </c>
      <c r="J34" s="163">
        <f>IF(I32=0,"",J32/I32-1)</f>
        <v/>
      </c>
      <c r="K34" s="163">
        <f>IF(J32=0,"",K32/J32-1)</f>
        <v/>
      </c>
      <c r="L34" s="163">
        <f>IF(K32=0,"",L32/K32-1)</f>
        <v/>
      </c>
      <c r="M34" s="163">
        <f>IF(L32=0,"",M32/L32-1)</f>
        <v/>
      </c>
    </row>
    <row r="35">
      <c r="A35" s="9" t="n"/>
      <c r="B35" s="9" t="n"/>
      <c r="C35" s="9" t="n"/>
      <c r="D35" s="9" t="n"/>
      <c r="E35" s="9" t="n"/>
      <c r="F35" s="21" t="n"/>
      <c r="G35" s="9" t="n"/>
      <c r="H35" s="9" t="n"/>
      <c r="I35" s="9" t="n"/>
      <c r="J35" s="9" t="n"/>
      <c r="K35" s="9" t="n"/>
      <c r="L35" s="9" t="n"/>
      <c r="M35" s="9" t="n"/>
    </row>
    <row r="36">
      <c r="A36" s="169" t="inlineStr">
        <is>
          <t>Total Revenue</t>
        </is>
      </c>
      <c r="B36" s="170" t="n"/>
      <c r="C36" s="170" t="n"/>
      <c r="D36" s="171">
        <f>D18+D25+D32</f>
        <v/>
      </c>
      <c r="E36" s="171">
        <f>E18+E25+E32</f>
        <v/>
      </c>
      <c r="F36" s="168">
        <f>F18+F25+F32</f>
        <v/>
      </c>
      <c r="G36" s="171">
        <f>G18+G25+G32</f>
        <v/>
      </c>
      <c r="H36" s="171">
        <f>H18+H25+H32</f>
        <v/>
      </c>
      <c r="I36" s="171">
        <f>I18+I25+I32</f>
        <v/>
      </c>
      <c r="J36" s="171">
        <f>J18+J25+J32</f>
        <v/>
      </c>
      <c r="K36" s="171">
        <f>K18+K25+K32</f>
        <v/>
      </c>
      <c r="L36" s="171">
        <f>L18+L25+L32</f>
        <v/>
      </c>
      <c r="M36" s="171">
        <f>M18+M25+M32</f>
        <v/>
      </c>
    </row>
    <row r="37">
      <c r="A37" s="9" t="n"/>
    </row>
    <row r="38">
      <c r="A38" s="29" t="inlineStr">
        <is>
          <t>COST OF GOODS SOLD</t>
        </is>
      </c>
    </row>
    <row r="39" outlineLevel="1">
      <c r="A39" s="32" t="inlineStr">
        <is>
          <t>Segment A COGS</t>
        </is>
      </c>
      <c r="B39" s="9" t="n"/>
      <c r="C39" s="9" t="n"/>
      <c r="D39" s="9" t="n"/>
      <c r="E39" s="9" t="n"/>
      <c r="F39" s="21" t="n"/>
      <c r="G39" s="9" t="n"/>
      <c r="H39" s="9" t="n"/>
      <c r="I39" s="9" t="n"/>
      <c r="J39" s="9" t="n"/>
      <c r="K39" s="9" t="n"/>
      <c r="L39" s="9" t="n"/>
      <c r="M39" s="9" t="n"/>
    </row>
    <row r="40" outlineLevel="1">
      <c r="A40" s="162" t="inlineStr">
        <is>
          <t xml:space="preserve">  Raw Material %</t>
        </is>
      </c>
      <c r="D40" s="141" t="n"/>
      <c r="E40" s="141" t="n"/>
      <c r="F40" s="161" t="n"/>
      <c r="G40" s="141" t="n"/>
      <c r="H40" s="141" t="n"/>
      <c r="I40" s="141" t="n"/>
      <c r="J40" s="141" t="n"/>
      <c r="K40" s="141" t="n"/>
      <c r="L40" s="141" t="n"/>
      <c r="M40" s="141" t="n"/>
    </row>
    <row r="41" outlineLevel="1">
      <c r="A41" s="56" t="inlineStr">
        <is>
          <t xml:space="preserve">  Labor %</t>
        </is>
      </c>
      <c r="B41" s="9" t="n"/>
      <c r="C41" s="9" t="n"/>
      <c r="D41" s="51" t="n"/>
      <c r="E41" s="51" t="n"/>
      <c r="F41" s="52" t="n"/>
      <c r="G41" s="51" t="n"/>
      <c r="H41" s="51" t="n"/>
      <c r="I41" s="51" t="n"/>
      <c r="J41" s="51" t="n"/>
      <c r="K41" s="51" t="n"/>
      <c r="L41" s="51" t="n"/>
      <c r="M41" s="51" t="n"/>
    </row>
    <row r="42" outlineLevel="1">
      <c r="A42" s="162" t="inlineStr">
        <is>
          <t xml:space="preserve">  Overhead %</t>
        </is>
      </c>
      <c r="D42" s="141" t="n"/>
      <c r="E42" s="141" t="n"/>
      <c r="F42" s="161" t="n"/>
      <c r="G42" s="141" t="n"/>
      <c r="H42" s="141" t="n"/>
      <c r="I42" s="141" t="n"/>
      <c r="J42" s="141" t="n"/>
      <c r="K42" s="141" t="n"/>
      <c r="L42" s="141" t="n"/>
      <c r="M42" s="141" t="n"/>
    </row>
    <row r="43" outlineLevel="1">
      <c r="A43" s="56" t="inlineStr">
        <is>
          <t xml:space="preserve">  D&amp;A Allocation</t>
        </is>
      </c>
      <c r="B43" s="9" t="n"/>
      <c r="C43" s="9" t="n"/>
      <c r="D43" s="62" t="n">
        <v>0</v>
      </c>
      <c r="E43" s="62" t="n">
        <v>0</v>
      </c>
      <c r="F43" s="63" t="n">
        <v>0</v>
      </c>
      <c r="G43" s="62" t="n">
        <v>0</v>
      </c>
      <c r="H43" s="62" t="n">
        <v>0</v>
      </c>
      <c r="I43" s="62" t="n">
        <v>0</v>
      </c>
      <c r="J43" s="62" t="n">
        <v>0</v>
      </c>
      <c r="K43" s="62" t="n">
        <v>0</v>
      </c>
      <c r="L43" s="62" t="n">
        <v>0</v>
      </c>
      <c r="M43" s="62" t="n">
        <v>0</v>
      </c>
    </row>
    <row r="44">
      <c r="A44" s="167" t="inlineStr">
        <is>
          <t xml:space="preserve">  COGS</t>
        </is>
      </c>
      <c r="D44" s="172">
        <f>D18*(D39+D40+D41)+D42</f>
        <v/>
      </c>
      <c r="E44" s="172">
        <f>E18*(E39+E40+E41)+E42</f>
        <v/>
      </c>
      <c r="F44" s="173">
        <f>F18*(F39+F40+F41)+F42</f>
        <v/>
      </c>
      <c r="G44" s="172">
        <f>G18*(G39+G40+G41)+G42</f>
        <v/>
      </c>
      <c r="H44" s="172">
        <f>H18*(H39+H40+H41)+H42</f>
        <v/>
      </c>
      <c r="I44" s="172">
        <f>I18*(I39+I40+I41)+I42</f>
        <v/>
      </c>
      <c r="J44" s="172">
        <f>J18*(J39+J40+J41)+J42</f>
        <v/>
      </c>
      <c r="K44" s="172">
        <f>K18*(K39+K40+K41)+K42</f>
        <v/>
      </c>
      <c r="L44" s="172">
        <f>L18*(L39+L40+L41)+L42</f>
        <v/>
      </c>
      <c r="M44" s="172">
        <f>M18*(M39+M40+M41)+M42</f>
        <v/>
      </c>
    </row>
    <row r="45" outlineLevel="1">
      <c r="A45" s="32" t="inlineStr">
        <is>
          <t>Segment B COGS</t>
        </is>
      </c>
      <c r="B45" s="9" t="n"/>
      <c r="C45" s="9" t="n"/>
      <c r="D45" s="9" t="n"/>
      <c r="E45" s="9" t="n"/>
      <c r="F45" s="21" t="n"/>
      <c r="G45" s="9" t="n"/>
      <c r="H45" s="9" t="n"/>
      <c r="I45" s="9" t="n"/>
      <c r="J45" s="9" t="n"/>
      <c r="K45" s="9" t="n"/>
      <c r="L45" s="9" t="n"/>
      <c r="M45" s="9" t="n"/>
    </row>
    <row r="46" outlineLevel="1">
      <c r="A46" s="162" t="inlineStr">
        <is>
          <t xml:space="preserve">  Raw Material %</t>
        </is>
      </c>
      <c r="D46" s="141" t="n"/>
      <c r="E46" s="141" t="n"/>
      <c r="F46" s="161" t="n"/>
      <c r="G46" s="141" t="n"/>
      <c r="H46" s="141" t="n"/>
      <c r="I46" s="141" t="n"/>
      <c r="J46" s="141" t="n"/>
      <c r="K46" s="141" t="n"/>
      <c r="L46" s="141" t="n"/>
      <c r="M46" s="141" t="n"/>
    </row>
    <row r="47" outlineLevel="1">
      <c r="A47" s="56" t="inlineStr">
        <is>
          <t xml:space="preserve">  Labor %</t>
        </is>
      </c>
      <c r="B47" s="9" t="n"/>
      <c r="C47" s="9" t="n"/>
      <c r="D47" s="51" t="n"/>
      <c r="E47" s="51" t="n"/>
      <c r="F47" s="52" t="n"/>
      <c r="G47" s="51" t="n"/>
      <c r="H47" s="51" t="n"/>
      <c r="I47" s="51" t="n"/>
      <c r="J47" s="51" t="n"/>
      <c r="K47" s="51" t="n"/>
      <c r="L47" s="51" t="n"/>
      <c r="M47" s="51" t="n"/>
    </row>
    <row r="48" outlineLevel="1">
      <c r="A48" s="162" t="inlineStr">
        <is>
          <t xml:space="preserve">  Overhead %</t>
        </is>
      </c>
      <c r="D48" s="141" t="n"/>
      <c r="E48" s="141" t="n"/>
      <c r="F48" s="161" t="n"/>
      <c r="G48" s="141" t="n"/>
      <c r="H48" s="141" t="n"/>
      <c r="I48" s="141" t="n"/>
      <c r="J48" s="141" t="n"/>
      <c r="K48" s="141" t="n"/>
      <c r="L48" s="141" t="n"/>
      <c r="M48" s="141" t="n"/>
    </row>
    <row r="49" outlineLevel="1">
      <c r="A49" s="56" t="inlineStr">
        <is>
          <t xml:space="preserve">  D&amp;A Allocation</t>
        </is>
      </c>
      <c r="B49" s="9" t="n"/>
      <c r="C49" s="9" t="n"/>
      <c r="D49" s="62" t="n">
        <v>0</v>
      </c>
      <c r="E49" s="62" t="n">
        <v>0</v>
      </c>
      <c r="F49" s="63" t="n">
        <v>0</v>
      </c>
      <c r="G49" s="62" t="n">
        <v>0</v>
      </c>
      <c r="H49" s="62" t="n">
        <v>0</v>
      </c>
      <c r="I49" s="62" t="n">
        <v>0</v>
      </c>
      <c r="J49" s="62" t="n">
        <v>0</v>
      </c>
      <c r="K49" s="62" t="n">
        <v>0</v>
      </c>
      <c r="L49" s="62" t="n">
        <v>0</v>
      </c>
      <c r="M49" s="62" t="n">
        <v>0</v>
      </c>
    </row>
    <row r="50">
      <c r="A50" s="167" t="inlineStr">
        <is>
          <t xml:space="preserve">  COGS</t>
        </is>
      </c>
      <c r="D50" s="172">
        <f>D25*(D45+D46+D47)+D48</f>
        <v/>
      </c>
      <c r="E50" s="172">
        <f>E25*(E45+E46+E47)+E48</f>
        <v/>
      </c>
      <c r="F50" s="173">
        <f>F25*(F45+F46+F47)+F48</f>
        <v/>
      </c>
      <c r="G50" s="172">
        <f>G25*(G45+G46+G47)+G48</f>
        <v/>
      </c>
      <c r="H50" s="172">
        <f>H25*(H45+H46+H47)+H48</f>
        <v/>
      </c>
      <c r="I50" s="172">
        <f>I25*(I45+I46+I47)+I48</f>
        <v/>
      </c>
      <c r="J50" s="172">
        <f>J25*(J45+J46+J47)+J48</f>
        <v/>
      </c>
      <c r="K50" s="172">
        <f>K25*(K45+K46+K47)+K48</f>
        <v/>
      </c>
      <c r="L50" s="172">
        <f>L25*(L45+L46+L47)+L48</f>
        <v/>
      </c>
      <c r="M50" s="172">
        <f>M25*(M45+M46+M47)+M48</f>
        <v/>
      </c>
    </row>
    <row r="51" outlineLevel="1">
      <c r="A51" s="32" t="inlineStr">
        <is>
          <t>Segment C COGS</t>
        </is>
      </c>
      <c r="B51" s="9" t="n"/>
      <c r="C51" s="9" t="n"/>
      <c r="D51" s="9" t="n"/>
      <c r="E51" s="9" t="n"/>
      <c r="F51" s="21" t="n"/>
      <c r="G51" s="9" t="n"/>
      <c r="H51" s="9" t="n"/>
      <c r="I51" s="9" t="n"/>
      <c r="J51" s="9" t="n"/>
      <c r="K51" s="9" t="n"/>
      <c r="L51" s="9" t="n"/>
      <c r="M51" s="9" t="n"/>
    </row>
    <row r="52" outlineLevel="1">
      <c r="A52" s="162" t="inlineStr">
        <is>
          <t xml:space="preserve">  Raw Material %</t>
        </is>
      </c>
      <c r="D52" s="141" t="n"/>
      <c r="E52" s="141" t="n"/>
      <c r="F52" s="161" t="n"/>
      <c r="G52" s="141" t="n"/>
      <c r="H52" s="141" t="n"/>
      <c r="I52" s="141" t="n"/>
      <c r="J52" s="141" t="n"/>
      <c r="K52" s="141" t="n"/>
      <c r="L52" s="141" t="n"/>
      <c r="M52" s="141" t="n"/>
    </row>
    <row r="53" outlineLevel="1">
      <c r="A53" s="56" t="inlineStr">
        <is>
          <t xml:space="preserve">  Labor %</t>
        </is>
      </c>
      <c r="B53" s="9" t="n"/>
      <c r="C53" s="9" t="n"/>
      <c r="D53" s="51" t="n"/>
      <c r="E53" s="51" t="n"/>
      <c r="F53" s="52" t="n"/>
      <c r="G53" s="51" t="n"/>
      <c r="H53" s="51" t="n"/>
      <c r="I53" s="51" t="n"/>
      <c r="J53" s="51" t="n"/>
      <c r="K53" s="51" t="n"/>
      <c r="L53" s="51" t="n"/>
      <c r="M53" s="51" t="n"/>
    </row>
    <row r="54" outlineLevel="1">
      <c r="A54" s="162" t="inlineStr">
        <is>
          <t xml:space="preserve">  Overhead %</t>
        </is>
      </c>
      <c r="D54" s="141" t="n"/>
      <c r="E54" s="141" t="n"/>
      <c r="F54" s="161" t="n"/>
      <c r="G54" s="141" t="n"/>
      <c r="H54" s="141" t="n"/>
      <c r="I54" s="141" t="n"/>
      <c r="J54" s="141" t="n"/>
      <c r="K54" s="141" t="n"/>
      <c r="L54" s="141" t="n"/>
      <c r="M54" s="141" t="n"/>
    </row>
    <row r="55" outlineLevel="1">
      <c r="A55" s="56" t="inlineStr">
        <is>
          <t xml:space="preserve">  D&amp;A Allocation</t>
        </is>
      </c>
      <c r="B55" s="9" t="n"/>
      <c r="C55" s="9" t="n"/>
      <c r="D55" s="62" t="n">
        <v>0</v>
      </c>
      <c r="E55" s="62" t="n">
        <v>0</v>
      </c>
      <c r="F55" s="63" t="n">
        <v>0</v>
      </c>
      <c r="G55" s="62" t="n">
        <v>0</v>
      </c>
      <c r="H55" s="62" t="n">
        <v>0</v>
      </c>
      <c r="I55" s="62" t="n">
        <v>0</v>
      </c>
      <c r="J55" s="62" t="n">
        <v>0</v>
      </c>
      <c r="K55" s="62" t="n">
        <v>0</v>
      </c>
      <c r="L55" s="62" t="n">
        <v>0</v>
      </c>
      <c r="M55" s="62" t="n">
        <v>0</v>
      </c>
    </row>
    <row r="56">
      <c r="A56" s="167" t="inlineStr">
        <is>
          <t xml:space="preserve">  COGS</t>
        </is>
      </c>
      <c r="D56" s="172">
        <f>D32*(D51+D52+D53)+D54</f>
        <v/>
      </c>
      <c r="E56" s="172">
        <f>E32*(E51+E52+E53)+E54</f>
        <v/>
      </c>
      <c r="F56" s="173">
        <f>F32*(F51+F52+F53)+F54</f>
        <v/>
      </c>
      <c r="G56" s="172">
        <f>G32*(G51+G52+G53)+G54</f>
        <v/>
      </c>
      <c r="H56" s="172">
        <f>H32*(H51+H52+H53)+H54</f>
        <v/>
      </c>
      <c r="I56" s="172">
        <f>I32*(I51+I52+I53)+I54</f>
        <v/>
      </c>
      <c r="J56" s="172">
        <f>J32*(J51+J52+J53)+J54</f>
        <v/>
      </c>
      <c r="K56" s="172">
        <f>K32*(K51+K52+K53)+K54</f>
        <v/>
      </c>
      <c r="L56" s="172">
        <f>L32*(L51+L52+L53)+L54</f>
        <v/>
      </c>
      <c r="M56" s="172">
        <f>M32*(M51+M52+M53)+M54</f>
        <v/>
      </c>
    </row>
    <row r="57">
      <c r="A57" s="32" t="inlineStr">
        <is>
          <t>Total COGS</t>
        </is>
      </c>
      <c r="B57" s="9" t="n"/>
      <c r="C57" s="9" t="n"/>
      <c r="D57" s="42">
        <f>D43+D49+D55</f>
        <v/>
      </c>
      <c r="E57" s="42">
        <f>E43+E49+E55</f>
        <v/>
      </c>
      <c r="F57" s="43">
        <f>F43+F49+F55</f>
        <v/>
      </c>
      <c r="G57" s="42">
        <f>G43+G49+G55</f>
        <v/>
      </c>
      <c r="H57" s="42">
        <f>H43+H49+H55</f>
        <v/>
      </c>
      <c r="I57" s="42">
        <f>I43+I49+I55</f>
        <v/>
      </c>
      <c r="J57" s="42">
        <f>J43+J49+J55</f>
        <v/>
      </c>
      <c r="K57" s="42">
        <f>K43+K49+K55</f>
        <v/>
      </c>
      <c r="L57" s="42">
        <f>L43+L49+L55</f>
        <v/>
      </c>
      <c r="M57" s="42">
        <f>M43+M49+M55</f>
        <v/>
      </c>
    </row>
    <row r="58">
      <c r="A58" s="2" t="inlineStr">
        <is>
          <t>Gross Profit</t>
        </is>
      </c>
      <c r="D58" s="142">
        <f>D35-D56</f>
        <v/>
      </c>
      <c r="E58" s="142">
        <f>E35-E56</f>
        <v/>
      </c>
      <c r="F58" s="168">
        <f>F35-F56</f>
        <v/>
      </c>
      <c r="G58" s="142">
        <f>G35-G56</f>
        <v/>
      </c>
      <c r="H58" s="142">
        <f>H35-H56</f>
        <v/>
      </c>
      <c r="I58" s="142">
        <f>I35-I56</f>
        <v/>
      </c>
      <c r="J58" s="142">
        <f>J35-J56</f>
        <v/>
      </c>
      <c r="K58" s="142">
        <f>K35-K56</f>
        <v/>
      </c>
      <c r="L58" s="142">
        <f>L35-L56</f>
        <v/>
      </c>
      <c r="M58" s="142">
        <f>M35-M56</f>
        <v/>
      </c>
    </row>
    <row r="59">
      <c r="A59" s="26" t="inlineStr">
        <is>
          <t>Gross Margin %</t>
        </is>
      </c>
      <c r="B59" s="9" t="n"/>
      <c r="C59" s="9" t="n"/>
      <c r="D59" s="57">
        <f>IF(D35=0,"",D57/D35)</f>
        <v/>
      </c>
      <c r="E59" s="57">
        <f>IF(E35=0,"",E57/E35)</f>
        <v/>
      </c>
      <c r="F59" s="58">
        <f>IF(F35=0,"",F57/F35)</f>
        <v/>
      </c>
      <c r="G59" s="57">
        <f>IF(G35=0,"",G57/G35)</f>
        <v/>
      </c>
      <c r="H59" s="57">
        <f>IF(H35=0,"",H57/H35)</f>
        <v/>
      </c>
      <c r="I59" s="57">
        <f>IF(I35=0,"",I57/I35)</f>
        <v/>
      </c>
      <c r="J59" s="57">
        <f>IF(J35=0,"",J57/J35)</f>
        <v/>
      </c>
      <c r="K59" s="57">
        <f>IF(K35=0,"",K57/K35)</f>
        <v/>
      </c>
      <c r="L59" s="57">
        <f>IF(L35=0,"",L57/L35)</f>
        <v/>
      </c>
      <c r="M59" s="57">
        <f>IF(M35=0,"",M57/M35)</f>
        <v/>
      </c>
    </row>
    <row r="60"/>
    <row r="61" outlineLevel="1">
      <c r="A61" s="29" t="inlineStr">
        <is>
          <t>SG&amp;A EXPENSES</t>
        </is>
      </c>
    </row>
    <row r="62" outlineLevel="1">
      <c r="A62" s="56" t="inlineStr">
        <is>
          <t xml:space="preserve">  Sales %</t>
        </is>
      </c>
      <c r="B62" s="9" t="n"/>
      <c r="C62" s="9" t="n"/>
      <c r="D62" s="51" t="n"/>
      <c r="E62" s="51" t="n"/>
      <c r="F62" s="52" t="n"/>
      <c r="G62" s="51" t="n"/>
      <c r="H62" s="51" t="n"/>
      <c r="I62" s="51" t="n"/>
      <c r="J62" s="51" t="n"/>
      <c r="K62" s="51" t="n"/>
      <c r="L62" s="51" t="n"/>
      <c r="M62" s="51" t="n"/>
    </row>
    <row r="63" outlineLevel="1">
      <c r="A63" s="162" t="inlineStr">
        <is>
          <t xml:space="preserve">  G&amp;A %</t>
        </is>
      </c>
      <c r="D63" s="141" t="n"/>
      <c r="E63" s="141" t="n"/>
      <c r="F63" s="161" t="n"/>
      <c r="G63" s="141" t="n"/>
      <c r="H63" s="141" t="n"/>
      <c r="I63" s="141" t="n"/>
      <c r="J63" s="141" t="n"/>
      <c r="K63" s="141" t="n"/>
      <c r="L63" s="141" t="n"/>
      <c r="M63" s="141" t="n"/>
    </row>
    <row r="64" outlineLevel="1">
      <c r="A64" s="56" t="inlineStr">
        <is>
          <t xml:space="preserve">  R&amp;D %</t>
        </is>
      </c>
      <c r="B64" s="9" t="n"/>
      <c r="C64" s="9" t="n"/>
      <c r="D64" s="51" t="n"/>
      <c r="E64" s="51" t="n"/>
      <c r="F64" s="52" t="n"/>
      <c r="G64" s="51" t="n"/>
      <c r="H64" s="51" t="n"/>
      <c r="I64" s="51" t="n"/>
      <c r="J64" s="51" t="n"/>
      <c r="K64" s="51" t="n"/>
      <c r="L64" s="51" t="n"/>
      <c r="M64" s="51" t="n"/>
    </row>
    <row r="65" outlineLevel="1">
      <c r="A65" s="162" t="inlineStr">
        <is>
          <t xml:space="preserve">  SBC</t>
        </is>
      </c>
      <c r="D65" s="139" t="n"/>
      <c r="E65" s="139" t="n"/>
      <c r="F65" s="160" t="n"/>
      <c r="G65" s="139" t="n"/>
      <c r="H65" s="139" t="n"/>
      <c r="I65" s="139" t="n"/>
      <c r="J65" s="139" t="n"/>
      <c r="K65" s="139" t="n"/>
      <c r="L65" s="139" t="n"/>
      <c r="M65" s="139" t="n"/>
    </row>
    <row r="66" outlineLevel="1">
      <c r="A66" s="56" t="inlineStr">
        <is>
          <t xml:space="preserve">  Other</t>
        </is>
      </c>
      <c r="B66" s="9" t="n"/>
      <c r="C66" s="9" t="n"/>
      <c r="D66" s="47" t="n"/>
      <c r="E66" s="47" t="n"/>
      <c r="F66" s="48" t="n"/>
      <c r="G66" s="47" t="n"/>
      <c r="H66" s="47" t="n"/>
      <c r="I66" s="47" t="n"/>
      <c r="J66" s="47" t="n"/>
      <c r="K66" s="47" t="n"/>
      <c r="L66" s="47" t="n"/>
      <c r="M66" s="47" t="n"/>
    </row>
    <row r="67">
      <c r="A67" s="2" t="inlineStr">
        <is>
          <t>Total SG&amp;A</t>
        </is>
      </c>
      <c r="D67" s="142">
        <f>D35*(D61+D62+D63)+D64+D65</f>
        <v/>
      </c>
      <c r="E67" s="142">
        <f>E35*(E61+E62+E63)+E64+E65</f>
        <v/>
      </c>
      <c r="F67" s="168">
        <f>F35*(F61+F62+F63)+F64+F65</f>
        <v/>
      </c>
      <c r="G67" s="142">
        <f>G35*(G61+G62+G63)+G64+G65</f>
        <v/>
      </c>
      <c r="H67" s="142">
        <f>H35*(H61+H62+H63)+H64+H65</f>
        <v/>
      </c>
      <c r="I67" s="142">
        <f>I35*(I61+I62+I63)+I64+I65</f>
        <v/>
      </c>
      <c r="J67" s="142">
        <f>J35*(J61+J62+J63)+J64+J65</f>
        <v/>
      </c>
      <c r="K67" s="142">
        <f>K35*(K61+K62+K63)+K64+K65</f>
        <v/>
      </c>
      <c r="L67" s="142">
        <f>L35*(L61+L62+L63)+L64+L65</f>
        <v/>
      </c>
      <c r="M67" s="142">
        <f>M35*(M61+M62+M63)+M64+M65</f>
        <v/>
      </c>
    </row>
    <row r="68">
      <c r="A68" s="9" t="n"/>
      <c r="B68" s="9" t="n"/>
      <c r="C68" s="9" t="n"/>
      <c r="D68" s="9" t="n"/>
      <c r="E68" s="9" t="n"/>
      <c r="F68" s="21" t="n"/>
      <c r="G68" s="9" t="n"/>
      <c r="H68" s="9" t="n"/>
      <c r="I68" s="9" t="n"/>
      <c r="J68" s="9" t="n"/>
      <c r="K68" s="9" t="n"/>
      <c r="L68" s="9" t="n"/>
      <c r="M68" s="9" t="n"/>
    </row>
    <row r="69"/>
    <row r="70" outlineLevel="1">
      <c r="A70" s="29" t="inlineStr">
        <is>
          <t>WORKING CAPITAL</t>
        </is>
      </c>
    </row>
    <row r="71" outlineLevel="1">
      <c r="A71" s="56" t="inlineStr">
        <is>
          <t xml:space="preserve">  AR Days</t>
        </is>
      </c>
      <c r="B71" s="9" t="n"/>
      <c r="C71" s="9" t="n"/>
      <c r="D71" s="47" t="n"/>
      <c r="E71" s="47" t="n"/>
      <c r="F71" s="48" t="n"/>
      <c r="G71" s="66">
        <f>AVERAGE(D70:F70)</f>
        <v/>
      </c>
      <c r="H71" s="66">
        <f>G70</f>
        <v/>
      </c>
      <c r="I71" s="66">
        <f>G70</f>
        <v/>
      </c>
      <c r="J71" s="66">
        <f>G70</f>
        <v/>
      </c>
      <c r="K71" s="66">
        <f>G70</f>
        <v/>
      </c>
      <c r="L71" s="66">
        <f>G70</f>
        <v/>
      </c>
      <c r="M71" s="66">
        <f>G70</f>
        <v/>
      </c>
    </row>
    <row r="72" outlineLevel="1">
      <c r="A72" s="162" t="inlineStr">
        <is>
          <t xml:space="preserve">  AP Days</t>
        </is>
      </c>
      <c r="D72" s="139" t="n"/>
      <c r="E72" s="139" t="n"/>
      <c r="F72" s="160" t="n"/>
      <c r="G72" s="172">
        <f>AVERAGE(D71:F71)</f>
        <v/>
      </c>
      <c r="H72" s="172">
        <f>G71</f>
        <v/>
      </c>
      <c r="I72" s="172">
        <f>G71</f>
        <v/>
      </c>
      <c r="J72" s="172">
        <f>G71</f>
        <v/>
      </c>
      <c r="K72" s="172">
        <f>G71</f>
        <v/>
      </c>
      <c r="L72" s="172">
        <f>G71</f>
        <v/>
      </c>
      <c r="M72" s="172">
        <f>G71</f>
        <v/>
      </c>
    </row>
    <row r="73" outlineLevel="1">
      <c r="A73" s="56" t="inlineStr">
        <is>
          <t xml:space="preserve">  Inventory Days</t>
        </is>
      </c>
      <c r="B73" s="9" t="n"/>
      <c r="C73" s="9" t="n"/>
      <c r="D73" s="47" t="n"/>
      <c r="E73" s="47" t="n"/>
      <c r="F73" s="48" t="n"/>
      <c r="G73" s="66">
        <f>AVERAGE(D72:F72)</f>
        <v/>
      </c>
      <c r="H73" s="66">
        <f>G72</f>
        <v/>
      </c>
      <c r="I73" s="66">
        <f>G72</f>
        <v/>
      </c>
      <c r="J73" s="66">
        <f>G72</f>
        <v/>
      </c>
      <c r="K73" s="66">
        <f>G72</f>
        <v/>
      </c>
      <c r="L73" s="66">
        <f>G72</f>
        <v/>
      </c>
      <c r="M73" s="66">
        <f>G72</f>
        <v/>
      </c>
    </row>
    <row r="74" outlineLevel="1">
      <c r="A74" s="162" t="inlineStr">
        <is>
          <t xml:space="preserve">  Prepay Days</t>
        </is>
      </c>
      <c r="D74" s="139" t="n"/>
      <c r="E74" s="139" t="n"/>
      <c r="F74" s="160" t="n"/>
      <c r="G74" s="172">
        <f>AVERAGE(D73:F73)</f>
        <v/>
      </c>
      <c r="H74" s="172">
        <f>G73</f>
        <v/>
      </c>
      <c r="I74" s="172">
        <f>G73</f>
        <v/>
      </c>
      <c r="J74" s="172">
        <f>G73</f>
        <v/>
      </c>
      <c r="K74" s="172">
        <f>G73</f>
        <v/>
      </c>
      <c r="L74" s="172">
        <f>G73</f>
        <v/>
      </c>
      <c r="M74" s="172">
        <f>G73</f>
        <v/>
      </c>
    </row>
    <row r="75" outlineLevel="1">
      <c r="A75" s="56" t="inlineStr">
        <is>
          <t xml:space="preserve">  Other Receivable Days</t>
        </is>
      </c>
      <c r="B75" s="9" t="n"/>
      <c r="C75" s="9" t="n"/>
      <c r="D75" s="47" t="n"/>
      <c r="E75" s="47" t="n"/>
      <c r="F75" s="48" t="n"/>
      <c r="G75" s="66">
        <f>AVERAGE(D74:F74)</f>
        <v/>
      </c>
      <c r="H75" s="66">
        <f>G74</f>
        <v/>
      </c>
      <c r="I75" s="66">
        <f>G74</f>
        <v/>
      </c>
      <c r="J75" s="66">
        <f>G74</f>
        <v/>
      </c>
      <c r="K75" s="66">
        <f>G74</f>
        <v/>
      </c>
      <c r="L75" s="66">
        <f>G74</f>
        <v/>
      </c>
      <c r="M75" s="66">
        <f>G74</f>
        <v/>
      </c>
    </row>
    <row r="76" outlineLevel="1">
      <c r="A76" s="162" t="inlineStr">
        <is>
          <t xml:space="preserve">  Other Payable Days</t>
        </is>
      </c>
      <c r="D76" s="139" t="n"/>
      <c r="E76" s="139" t="n"/>
      <c r="F76" s="160" t="n"/>
      <c r="G76" s="172">
        <f>AVERAGE(D75:F75)</f>
        <v/>
      </c>
      <c r="H76" s="172">
        <f>G75</f>
        <v/>
      </c>
      <c r="I76" s="172">
        <f>G75</f>
        <v/>
      </c>
      <c r="J76" s="172">
        <f>G75</f>
        <v/>
      </c>
      <c r="K76" s="172">
        <f>G75</f>
        <v/>
      </c>
      <c r="L76" s="172">
        <f>G75</f>
        <v/>
      </c>
      <c r="M76" s="172">
        <f>G75</f>
        <v/>
      </c>
    </row>
    <row r="77">
      <c r="A77" s="41" t="inlineStr">
        <is>
          <t xml:space="preserve">  Cash Conversion Cycle</t>
        </is>
      </c>
      <c r="B77" s="9" t="n"/>
      <c r="C77" s="9" t="n"/>
      <c r="D77" s="66">
        <f>D70+D72-D71</f>
        <v/>
      </c>
      <c r="E77" s="66">
        <f>E70+E72-E71</f>
        <v/>
      </c>
      <c r="F77" s="67">
        <f>F70+F72-F71</f>
        <v/>
      </c>
      <c r="G77" s="66">
        <f>G70+G72-G71</f>
        <v/>
      </c>
      <c r="H77" s="66">
        <f>H70+H72-H71</f>
        <v/>
      </c>
      <c r="I77" s="66">
        <f>I70+I72-I71</f>
        <v/>
      </c>
      <c r="J77" s="66">
        <f>J70+J72-J71</f>
        <v/>
      </c>
      <c r="K77" s="66">
        <f>K70+K72-K71</f>
        <v/>
      </c>
      <c r="L77" s="66">
        <f>L70+L72-L71</f>
        <v/>
      </c>
      <c r="M77" s="66">
        <f>M70+M72-M71</f>
        <v/>
      </c>
    </row>
    <row r="78"/>
    <row r="79" outlineLevel="1">
      <c r="A79" s="29" t="inlineStr">
        <is>
          <t>CAPEX</t>
        </is>
      </c>
    </row>
    <row r="80" outlineLevel="1">
      <c r="A80" s="56" t="inlineStr">
        <is>
          <t xml:space="preserve">  CapEx Amount</t>
        </is>
      </c>
      <c r="B80" s="9" t="n"/>
      <c r="C80" s="9" t="n"/>
      <c r="D80" s="47" t="n"/>
      <c r="E80" s="47" t="n"/>
      <c r="F80" s="48" t="n"/>
      <c r="G80" s="47" t="n"/>
      <c r="H80" s="47" t="n"/>
      <c r="I80" s="47" t="n"/>
      <c r="J80" s="47" t="n"/>
      <c r="K80" s="47" t="n"/>
      <c r="L80" s="47" t="n"/>
      <c r="M80" s="47" t="n"/>
    </row>
    <row r="81" outlineLevel="1">
      <c r="A81" s="162" t="inlineStr">
        <is>
          <t xml:space="preserve">  CapEx % of Revenue</t>
        </is>
      </c>
      <c r="D81" s="141" t="n"/>
      <c r="E81" s="141" t="n"/>
      <c r="F81" s="161" t="n"/>
      <c r="G81" s="141" t="n"/>
      <c r="H81" s="141" t="n"/>
      <c r="I81" s="141" t="n"/>
      <c r="J81" s="141" t="n"/>
      <c r="K81" s="141" t="n"/>
      <c r="L81" s="141" t="n"/>
      <c r="M81" s="141" t="n"/>
    </row>
    <row r="82" outlineLevel="1">
      <c r="A82" s="56" t="inlineStr">
        <is>
          <t xml:space="preserve">  Depreciation Rate</t>
        </is>
      </c>
      <c r="B82" s="9" t="n"/>
      <c r="C82" s="9" t="n"/>
      <c r="D82" s="51" t="n"/>
      <c r="E82" s="51" t="n"/>
      <c r="F82" s="52" t="n"/>
      <c r="G82" s="51" t="n"/>
      <c r="H82" s="51" t="n"/>
      <c r="I82" s="51" t="n"/>
      <c r="J82" s="51" t="n"/>
      <c r="K82" s="51" t="n"/>
      <c r="L82" s="51" t="n"/>
      <c r="M82" s="51" t="n"/>
    </row>
    <row r="83">
      <c r="A83" s="162" t="inlineStr">
        <is>
          <t xml:space="preserve">  Amortization Rate</t>
        </is>
      </c>
      <c r="D83" s="141" t="n"/>
      <c r="E83" s="141" t="n"/>
      <c r="F83" s="161" t="n"/>
      <c r="G83" s="141" t="n"/>
      <c r="H83" s="141" t="n"/>
      <c r="I83" s="141" t="n"/>
      <c r="J83" s="141" t="n"/>
      <c r="K83" s="141" t="n"/>
      <c r="L83" s="141" t="n"/>
      <c r="M83" s="141" t="n"/>
    </row>
    <row r="84">
      <c r="A84" s="9" t="n"/>
    </row>
    <row r="85" outlineLevel="1">
      <c r="A85" s="29" t="inlineStr">
        <is>
          <t>DEBT &amp; FINANCING</t>
        </is>
      </c>
    </row>
    <row r="86" outlineLevel="1">
      <c r="A86" s="56" t="inlineStr">
        <is>
          <t xml:space="preserve">  Interest Rate</t>
        </is>
      </c>
      <c r="B86" s="9" t="n"/>
      <c r="C86" s="9" t="n"/>
      <c r="D86" s="51" t="n"/>
      <c r="E86" s="51" t="n"/>
      <c r="F86" s="52" t="n"/>
      <c r="G86" s="51" t="n"/>
      <c r="H86" s="51" t="n"/>
      <c r="I86" s="51" t="n"/>
      <c r="J86" s="51" t="n"/>
      <c r="K86" s="51" t="n"/>
      <c r="L86" s="51" t="n"/>
      <c r="M86" s="51" t="n"/>
    </row>
    <row r="87" outlineLevel="1">
      <c r="A87" s="162" t="inlineStr">
        <is>
          <t xml:space="preserve">  D/E Target</t>
        </is>
      </c>
      <c r="D87" s="165" t="n"/>
      <c r="E87" s="165" t="n"/>
      <c r="F87" s="166" t="n"/>
      <c r="G87" s="165" t="n"/>
      <c r="H87" s="165" t="n"/>
      <c r="I87" s="165" t="n"/>
      <c r="J87" s="165" t="n"/>
      <c r="K87" s="165" t="n"/>
      <c r="L87" s="165" t="n"/>
      <c r="M87" s="165" t="n"/>
    </row>
    <row r="88">
      <c r="A88" s="56" t="inlineStr">
        <is>
          <t xml:space="preserve">  Dividend Payout %</t>
        </is>
      </c>
      <c r="B88" s="9" t="n"/>
      <c r="C88" s="9" t="n"/>
      <c r="D88" s="51" t="n"/>
      <c r="E88" s="51" t="n"/>
      <c r="F88" s="52" t="n"/>
      <c r="G88" s="51" t="n"/>
      <c r="H88" s="51" t="n"/>
      <c r="I88" s="51" t="n"/>
      <c r="J88" s="51" t="n"/>
      <c r="K88" s="51" t="n"/>
      <c r="L88" s="51" t="n"/>
      <c r="M88" s="51" t="n"/>
    </row>
    <row r="89"/>
    <row r="90" outlineLevel="1">
      <c r="A90" s="29" t="inlineStr">
        <is>
          <t>TAX &amp; OTHER</t>
        </is>
      </c>
    </row>
    <row r="91" outlineLevel="1">
      <c r="A91" s="56" t="inlineStr">
        <is>
          <t xml:space="preserve">  Tax Rate</t>
        </is>
      </c>
      <c r="B91" s="9" t="n"/>
      <c r="C91" s="9" t="n"/>
      <c r="D91" s="51" t="n"/>
      <c r="E91" s="51" t="n"/>
      <c r="F91" s="52" t="n"/>
      <c r="G91" s="51" t="n"/>
      <c r="H91" s="51" t="n"/>
      <c r="I91" s="51" t="n"/>
      <c r="J91" s="51" t="n"/>
      <c r="K91" s="51" t="n"/>
      <c r="L91" s="51" t="n"/>
      <c r="M91" s="51" t="n"/>
    </row>
    <row r="92">
      <c r="A92" s="162" t="inlineStr">
        <is>
          <t xml:space="preserve">  Other</t>
        </is>
      </c>
      <c r="D92" s="139" t="n"/>
      <c r="E92" s="139" t="n"/>
      <c r="F92" s="160" t="n"/>
      <c r="G92" s="139" t="n"/>
      <c r="H92" s="139" t="n"/>
      <c r="I92" s="139" t="n"/>
      <c r="J92" s="139" t="n"/>
      <c r="K92" s="139" t="n"/>
      <c r="L92" s="139" t="n"/>
      <c r="M92" s="139" t="n"/>
    </row>
    <row r="93">
      <c r="A93" s="9" t="n"/>
      <c r="B93" s="9" t="n"/>
      <c r="C93" s="9" t="n"/>
      <c r="D93" s="9" t="n"/>
      <c r="E93" s="9" t="n"/>
      <c r="F93" s="21" t="n"/>
      <c r="G93" s="9" t="n"/>
      <c r="H93" s="9" t="n"/>
      <c r="I93" s="9" t="n"/>
      <c r="J93" s="9" t="n"/>
      <c r="K93" s="9" t="n"/>
      <c r="L93" s="9" t="n"/>
      <c r="M93" s="9" t="n"/>
    </row>
  </sheetData>
  <mergeCells count="9">
    <mergeCell ref="A60:M60"/>
    <mergeCell ref="A84:M84"/>
    <mergeCell ref="A13:M13"/>
    <mergeCell ref="D2:F2"/>
    <mergeCell ref="A37:M37"/>
    <mergeCell ref="A89:M89"/>
    <mergeCell ref="A78:M78"/>
    <mergeCell ref="A69:M69"/>
    <mergeCell ref="G2:M2"/>
  </mergeCells>
  <dataValidations count="2">
    <dataValidation sqref="C1" showDropDown="0" showInputMessage="0" showErrorMessage="0" allowBlank="0" error="Please select Base, Upside, or Downside" type="list">
      <formula1>"Base,Upside,Downside"</formula1>
    </dataValidation>
    <dataValidation sqref="M1" showDropDown="0" showInputMessage="0" showErrorMessage="0" allowBlank="0" errorTitle="Invalid Scenario" error="Please select Base, Upside, or Downside" type="list">
      <formula1>"Base,Upside,Downside"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070C0"/>
    <outlinePr summaryBelow="1" summaryRight="1"/>
    <pageSetUpPr/>
  </sheetPr>
  <dimension ref="A1:M31"/>
  <sheetViews>
    <sheetView showGridLines="0" workbookViewId="0">
      <pane xSplit="3" ySplit="3" topLeftCell="D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8" customWidth="1" min="1" max="1"/>
    <col width="10" customWidth="1" min="2" max="2"/>
    <col width="15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TAM &amp; Market</t>
        </is>
      </c>
    </row>
    <row r="2">
      <c r="D2" s="219" t="inlineStr">
        <is>
          <t>Historical</t>
        </is>
      </c>
      <c r="E2" s="228" t="n"/>
      <c r="F2" s="229" t="n"/>
      <c r="G2" s="222" t="inlineStr">
        <is>
          <t>Forecast</t>
        </is>
      </c>
      <c r="H2" s="228" t="n"/>
      <c r="I2" s="228" t="n"/>
      <c r="J2" s="228" t="n"/>
      <c r="K2" s="228" t="n"/>
      <c r="L2" s="228" t="n"/>
      <c r="M2" s="229" t="n"/>
    </row>
    <row r="3">
      <c r="D3" s="225" t="inlineStr">
        <is>
          <t>FY2023</t>
        </is>
      </c>
      <c r="E3" s="225" t="inlineStr">
        <is>
          <t>FY2024</t>
        </is>
      </c>
      <c r="F3" s="225" t="inlineStr">
        <is>
          <t>FY2025</t>
        </is>
      </c>
      <c r="G3" s="226" t="inlineStr">
        <is>
          <t>FY2026E</t>
        </is>
      </c>
      <c r="H3" s="226" t="inlineStr">
        <is>
          <t>FY2027E</t>
        </is>
      </c>
      <c r="I3" s="226" t="inlineStr">
        <is>
          <t>FY2028E</t>
        </is>
      </c>
      <c r="J3" s="226" t="inlineStr">
        <is>
          <t>FY2029E</t>
        </is>
      </c>
      <c r="K3" s="226" t="inlineStr">
        <is>
          <t>FY2030E</t>
        </is>
      </c>
      <c r="L3" s="226" t="inlineStr">
        <is>
          <t>FY2031E</t>
        </is>
      </c>
      <c r="M3" s="226" t="inlineStr">
        <is>
          <t>FY2032E</t>
        </is>
      </c>
    </row>
    <row r="4">
      <c r="A4" s="29" t="inlineStr">
        <is>
          <t>TOTAL ADDRESSABLE MARKET</t>
        </is>
      </c>
    </row>
    <row r="5" outlineLevel="1">
      <c r="A5" s="56" t="inlineStr">
        <is>
          <t xml:space="preserve">  TAM Segment A</t>
        </is>
      </c>
      <c r="B5" s="9" t="n"/>
      <c r="C5" s="9" t="n"/>
      <c r="D5" s="47" t="n"/>
      <c r="E5" s="47" t="n"/>
      <c r="F5" s="48" t="n"/>
      <c r="G5" s="47" t="n"/>
      <c r="H5" s="47" t="n"/>
      <c r="I5" s="47" t="n"/>
      <c r="J5" s="47" t="n"/>
      <c r="K5" s="47" t="n"/>
      <c r="L5" s="47" t="n"/>
      <c r="M5" s="47" t="n"/>
    </row>
    <row r="6" outlineLevel="1">
      <c r="A6" s="162" t="inlineStr">
        <is>
          <t xml:space="preserve">  TAM Segment B</t>
        </is>
      </c>
      <c r="D6" s="139" t="n"/>
      <c r="E6" s="139" t="n"/>
      <c r="F6" s="160" t="n"/>
      <c r="G6" s="139" t="n"/>
      <c r="H6" s="139" t="n"/>
      <c r="I6" s="139" t="n"/>
      <c r="J6" s="139" t="n"/>
      <c r="K6" s="139" t="n"/>
      <c r="L6" s="139" t="n"/>
      <c r="M6" s="139" t="n"/>
    </row>
    <row r="7" outlineLevel="1">
      <c r="A7" s="56" t="inlineStr">
        <is>
          <t xml:space="preserve">  TAM Segment C</t>
        </is>
      </c>
      <c r="B7" s="9" t="n"/>
      <c r="C7" s="9" t="n"/>
      <c r="D7" s="47" t="n"/>
      <c r="E7" s="47" t="n"/>
      <c r="F7" s="48" t="n"/>
      <c r="G7" s="47" t="n"/>
      <c r="H7" s="47" t="n"/>
      <c r="I7" s="47" t="n"/>
      <c r="J7" s="47" t="n"/>
      <c r="K7" s="47" t="n"/>
      <c r="L7" s="47" t="n"/>
      <c r="M7" s="47" t="n"/>
    </row>
    <row r="8" outlineLevel="1">
      <c r="A8" s="2" t="inlineStr">
        <is>
          <t>Total TAM</t>
        </is>
      </c>
      <c r="D8" s="142">
        <f>D5+D6+D7</f>
        <v/>
      </c>
      <c r="E8" s="142">
        <f>E5+E6+E7</f>
        <v/>
      </c>
      <c r="F8" s="168">
        <f>F5+F6+F7</f>
        <v/>
      </c>
      <c r="G8" s="142">
        <f>G5+G6+G7</f>
        <v/>
      </c>
      <c r="H8" s="142">
        <f>H5+H6+H7</f>
        <v/>
      </c>
      <c r="I8" s="142">
        <f>I5+I6+I7</f>
        <v/>
      </c>
      <c r="J8" s="142">
        <f>J5+J6+J7</f>
        <v/>
      </c>
      <c r="K8" s="142">
        <f>K5+K6+K7</f>
        <v/>
      </c>
      <c r="L8" s="142">
        <f>L5+L6+L7</f>
        <v/>
      </c>
      <c r="M8" s="142">
        <f>M5+M6+M7</f>
        <v/>
      </c>
    </row>
    <row r="9" outlineLevel="1">
      <c r="A9" s="9" t="inlineStr">
        <is>
          <t>TAM Growth %</t>
        </is>
      </c>
      <c r="B9" s="9" t="n"/>
      <c r="C9" s="9" t="n"/>
      <c r="D9" s="9" t="n"/>
      <c r="E9" s="57">
        <f>IF(D8=0,"",E8/D8-1)</f>
        <v/>
      </c>
      <c r="F9" s="58">
        <f>IF(E8=0,"",F8/E8-1)</f>
        <v/>
      </c>
      <c r="G9" s="57">
        <f>IF(F8=0,"",G8/F8-1)</f>
        <v/>
      </c>
      <c r="H9" s="57">
        <f>IF(G8=0,"",H8/G8-1)</f>
        <v/>
      </c>
      <c r="I9" s="57">
        <f>IF(H8=0,"",I8/H8-1)</f>
        <v/>
      </c>
      <c r="J9" s="57">
        <f>IF(I8=0,"",J8/I8-1)</f>
        <v/>
      </c>
      <c r="K9" s="57">
        <f>IF(J8=0,"",K8/J8-1)</f>
        <v/>
      </c>
      <c r="L9" s="57">
        <f>IF(K8=0,"",L8/K8-1)</f>
        <v/>
      </c>
      <c r="M9" s="57">
        <f>IF(L8=0,"",M8/L8-1)</f>
        <v/>
      </c>
    </row>
    <row r="10">
      <c r="F10" s="158" t="n"/>
    </row>
    <row r="11">
      <c r="A11" s="5" t="inlineStr">
        <is>
          <t>SERVICEABLE MARKET</t>
        </is>
      </c>
    </row>
    <row r="12" outlineLevel="1">
      <c r="A12" s="56" t="inlineStr">
        <is>
          <t xml:space="preserve">  Penetration % (A)</t>
        </is>
      </c>
      <c r="B12" s="9" t="n"/>
      <c r="C12" s="9" t="n"/>
      <c r="D12" s="51" t="n"/>
      <c r="E12" s="51" t="n"/>
      <c r="F12" s="52" t="n"/>
      <c r="G12" s="51" t="n"/>
      <c r="H12" s="51" t="n"/>
      <c r="I12" s="51" t="n"/>
      <c r="J12" s="51" t="n"/>
      <c r="K12" s="51" t="n"/>
      <c r="L12" s="51" t="n"/>
      <c r="M12" s="51" t="n"/>
    </row>
    <row r="13" outlineLevel="1">
      <c r="A13" s="162" t="inlineStr">
        <is>
          <t xml:space="preserve">  SAM Segment A</t>
        </is>
      </c>
      <c r="D13" s="172">
        <f>D5*D12</f>
        <v/>
      </c>
      <c r="E13" s="172">
        <f>E5*E12</f>
        <v/>
      </c>
      <c r="F13" s="173">
        <f>F5*F12</f>
        <v/>
      </c>
      <c r="G13" s="172">
        <f>G5*G12</f>
        <v/>
      </c>
      <c r="H13" s="172">
        <f>H5*H12</f>
        <v/>
      </c>
      <c r="I13" s="172">
        <f>I5*I12</f>
        <v/>
      </c>
      <c r="J13" s="172">
        <f>J5*J12</f>
        <v/>
      </c>
      <c r="K13" s="172">
        <f>K5*K12</f>
        <v/>
      </c>
      <c r="L13" s="172">
        <f>L5*L12</f>
        <v/>
      </c>
      <c r="M13" s="172">
        <f>M5*M12</f>
        <v/>
      </c>
    </row>
    <row r="14" outlineLevel="1">
      <c r="A14" s="56" t="inlineStr">
        <is>
          <t xml:space="preserve">  Penetration % (B)</t>
        </is>
      </c>
      <c r="B14" s="9" t="n"/>
      <c r="C14" s="9" t="n"/>
      <c r="D14" s="51" t="n"/>
      <c r="E14" s="51" t="n"/>
      <c r="F14" s="52" t="n"/>
      <c r="G14" s="51" t="n"/>
      <c r="H14" s="51" t="n"/>
      <c r="I14" s="51" t="n"/>
      <c r="J14" s="51" t="n"/>
      <c r="K14" s="51" t="n"/>
      <c r="L14" s="51" t="n"/>
      <c r="M14" s="51" t="n"/>
    </row>
    <row r="15" outlineLevel="1">
      <c r="A15" s="162" t="inlineStr">
        <is>
          <t xml:space="preserve">  SAM Segment B</t>
        </is>
      </c>
      <c r="D15" s="172">
        <f>D6*D14</f>
        <v/>
      </c>
      <c r="E15" s="172">
        <f>E6*E14</f>
        <v/>
      </c>
      <c r="F15" s="173">
        <f>F6*F14</f>
        <v/>
      </c>
      <c r="G15" s="172">
        <f>G6*G14</f>
        <v/>
      </c>
      <c r="H15" s="172">
        <f>H6*H14</f>
        <v/>
      </c>
      <c r="I15" s="172">
        <f>I6*I14</f>
        <v/>
      </c>
      <c r="J15" s="172">
        <f>J6*J14</f>
        <v/>
      </c>
      <c r="K15" s="172">
        <f>K6*K14</f>
        <v/>
      </c>
      <c r="L15" s="172">
        <f>L6*L14</f>
        <v/>
      </c>
      <c r="M15" s="172">
        <f>M6*M14</f>
        <v/>
      </c>
    </row>
    <row r="16" outlineLevel="1">
      <c r="A16" s="56" t="inlineStr">
        <is>
          <t xml:space="preserve">  Penetration % (C)</t>
        </is>
      </c>
      <c r="B16" s="9" t="n"/>
      <c r="C16" s="9" t="n"/>
      <c r="D16" s="51" t="n"/>
      <c r="E16" s="51" t="n"/>
      <c r="F16" s="52" t="n"/>
      <c r="G16" s="51" t="n"/>
      <c r="H16" s="51" t="n"/>
      <c r="I16" s="51" t="n"/>
      <c r="J16" s="51" t="n"/>
      <c r="K16" s="51" t="n"/>
      <c r="L16" s="51" t="n"/>
      <c r="M16" s="51" t="n"/>
    </row>
    <row r="17" outlineLevel="1">
      <c r="A17" s="162" t="inlineStr">
        <is>
          <t xml:space="preserve">  SAM Segment C</t>
        </is>
      </c>
      <c r="D17" s="172">
        <f>D7*D16</f>
        <v/>
      </c>
      <c r="E17" s="172">
        <f>E7*E16</f>
        <v/>
      </c>
      <c r="F17" s="173">
        <f>F7*F16</f>
        <v/>
      </c>
      <c r="G17" s="172">
        <f>G7*G16</f>
        <v/>
      </c>
      <c r="H17" s="172">
        <f>H7*H16</f>
        <v/>
      </c>
      <c r="I17" s="172">
        <f>I7*I16</f>
        <v/>
      </c>
      <c r="J17" s="172">
        <f>J7*J16</f>
        <v/>
      </c>
      <c r="K17" s="172">
        <f>K7*K16</f>
        <v/>
      </c>
      <c r="L17" s="172">
        <f>L7*L16</f>
        <v/>
      </c>
      <c r="M17" s="172">
        <f>M7*M16</f>
        <v/>
      </c>
    </row>
    <row r="18">
      <c r="A18" s="9" t="n"/>
      <c r="B18" s="9" t="n"/>
      <c r="C18" s="9" t="n"/>
      <c r="D18" s="9" t="n"/>
      <c r="E18" s="9" t="n"/>
      <c r="F18" s="21" t="n"/>
      <c r="G18" s="9" t="n"/>
      <c r="H18" s="9" t="n"/>
      <c r="I18" s="9" t="n"/>
      <c r="J18" s="9" t="n"/>
      <c r="K18" s="9" t="n"/>
      <c r="L18" s="9" t="n"/>
      <c r="M18" s="9" t="n"/>
    </row>
    <row r="19">
      <c r="A19" s="5" t="inlineStr">
        <is>
          <t>MARKET SHARE</t>
        </is>
      </c>
    </row>
    <row r="20" outlineLevel="1">
      <c r="A20" s="56" t="inlineStr">
        <is>
          <t xml:space="preserve">  Revenue (A)</t>
        </is>
      </c>
      <c r="B20" s="9" t="n"/>
      <c r="C20" s="9" t="n"/>
      <c r="D20" s="62">
        <f>'Key Assumptions'!D18</f>
        <v/>
      </c>
      <c r="E20" s="62">
        <f>'Key Assumptions'!E18</f>
        <v/>
      </c>
      <c r="F20" s="63">
        <f>'Key Assumptions'!F18</f>
        <v/>
      </c>
      <c r="G20" s="62">
        <f>'Key Assumptions'!G18</f>
        <v/>
      </c>
      <c r="H20" s="62">
        <f>'Key Assumptions'!H18</f>
        <v/>
      </c>
      <c r="I20" s="62">
        <f>'Key Assumptions'!I18</f>
        <v/>
      </c>
      <c r="J20" s="62">
        <f>'Key Assumptions'!J18</f>
        <v/>
      </c>
      <c r="K20" s="62">
        <f>'Key Assumptions'!K18</f>
        <v/>
      </c>
      <c r="L20" s="62">
        <f>'Key Assumptions'!L18</f>
        <v/>
      </c>
      <c r="M20" s="62">
        <f>'Key Assumptions'!M18</f>
        <v/>
      </c>
    </row>
    <row r="21" outlineLevel="1">
      <c r="A21" s="162" t="inlineStr">
        <is>
          <t xml:space="preserve">  Market Share % (A)</t>
        </is>
      </c>
      <c r="D21" s="163">
        <f>IF(D5=0,"",D20/D5)</f>
        <v/>
      </c>
      <c r="E21" s="163">
        <f>IF(E5=0,"",E20/E5)</f>
        <v/>
      </c>
      <c r="F21" s="164">
        <f>IF(F5=0,"",F20/F5)</f>
        <v/>
      </c>
      <c r="G21" s="163">
        <f>IF(G5=0,"",G20/G5)</f>
        <v/>
      </c>
      <c r="H21" s="163">
        <f>IF(H5=0,"",H20/H5)</f>
        <v/>
      </c>
      <c r="I21" s="163">
        <f>IF(I5=0,"",I20/I5)</f>
        <v/>
      </c>
      <c r="J21" s="163">
        <f>IF(J5=0,"",J20/J5)</f>
        <v/>
      </c>
      <c r="K21" s="163">
        <f>IF(K5=0,"",K20/K5)</f>
        <v/>
      </c>
      <c r="L21" s="163">
        <f>IF(L5=0,"",L20/L5)</f>
        <v/>
      </c>
      <c r="M21" s="163">
        <f>IF(M5=0,"",M20/M5)</f>
        <v/>
      </c>
    </row>
    <row r="22" outlineLevel="1">
      <c r="A22" s="56" t="inlineStr">
        <is>
          <t xml:space="preserve">  Revenue (B)</t>
        </is>
      </c>
      <c r="B22" s="9" t="n"/>
      <c r="C22" s="9" t="n"/>
      <c r="D22" s="62">
        <f>'Key Assumptions'!D25</f>
        <v/>
      </c>
      <c r="E22" s="62">
        <f>'Key Assumptions'!E25</f>
        <v/>
      </c>
      <c r="F22" s="63">
        <f>'Key Assumptions'!F25</f>
        <v/>
      </c>
      <c r="G22" s="62">
        <f>'Key Assumptions'!G25</f>
        <v/>
      </c>
      <c r="H22" s="62">
        <f>'Key Assumptions'!H25</f>
        <v/>
      </c>
      <c r="I22" s="62">
        <f>'Key Assumptions'!I25</f>
        <v/>
      </c>
      <c r="J22" s="62">
        <f>'Key Assumptions'!J25</f>
        <v/>
      </c>
      <c r="K22" s="62">
        <f>'Key Assumptions'!K25</f>
        <v/>
      </c>
      <c r="L22" s="62">
        <f>'Key Assumptions'!L25</f>
        <v/>
      </c>
      <c r="M22" s="62">
        <f>'Key Assumptions'!M25</f>
        <v/>
      </c>
    </row>
    <row r="23" outlineLevel="1">
      <c r="A23" s="162" t="inlineStr">
        <is>
          <t xml:space="preserve">  Market Share % (B)</t>
        </is>
      </c>
      <c r="D23" s="163">
        <f>IF(D6=0,"",D22/D6)</f>
        <v/>
      </c>
      <c r="E23" s="163">
        <f>IF(E6=0,"",E22/E6)</f>
        <v/>
      </c>
      <c r="F23" s="164">
        <f>IF(F6=0,"",F22/F6)</f>
        <v/>
      </c>
      <c r="G23" s="163">
        <f>IF(G6=0,"",G22/G6)</f>
        <v/>
      </c>
      <c r="H23" s="163">
        <f>IF(H6=0,"",H22/H6)</f>
        <v/>
      </c>
      <c r="I23" s="163">
        <f>IF(I6=0,"",I22/I6)</f>
        <v/>
      </c>
      <c r="J23" s="163">
        <f>IF(J6=0,"",J22/J6)</f>
        <v/>
      </c>
      <c r="K23" s="163">
        <f>IF(K6=0,"",K22/K6)</f>
        <v/>
      </c>
      <c r="L23" s="163">
        <f>IF(L6=0,"",L22/L6)</f>
        <v/>
      </c>
      <c r="M23" s="163">
        <f>IF(M6=0,"",M22/M6)</f>
        <v/>
      </c>
    </row>
    <row r="24" outlineLevel="1">
      <c r="A24" s="56" t="inlineStr">
        <is>
          <t xml:space="preserve">  Revenue (C)</t>
        </is>
      </c>
      <c r="B24" s="9" t="n"/>
      <c r="C24" s="9" t="n"/>
      <c r="D24" s="62">
        <f>'Key Assumptions'!D32</f>
        <v/>
      </c>
      <c r="E24" s="62">
        <f>'Key Assumptions'!E32</f>
        <v/>
      </c>
      <c r="F24" s="63">
        <f>'Key Assumptions'!F32</f>
        <v/>
      </c>
      <c r="G24" s="62">
        <f>'Key Assumptions'!G32</f>
        <v/>
      </c>
      <c r="H24" s="62">
        <f>'Key Assumptions'!H32</f>
        <v/>
      </c>
      <c r="I24" s="62">
        <f>'Key Assumptions'!I32</f>
        <v/>
      </c>
      <c r="J24" s="62">
        <f>'Key Assumptions'!J32</f>
        <v/>
      </c>
      <c r="K24" s="62">
        <f>'Key Assumptions'!K32</f>
        <v/>
      </c>
      <c r="L24" s="62">
        <f>'Key Assumptions'!L32</f>
        <v/>
      </c>
      <c r="M24" s="62">
        <f>'Key Assumptions'!M32</f>
        <v/>
      </c>
    </row>
    <row r="25" outlineLevel="1">
      <c r="A25" s="162" t="inlineStr">
        <is>
          <t xml:space="preserve">  Market Share % (C)</t>
        </is>
      </c>
      <c r="D25" s="163">
        <f>IF(D7=0,"",D24/D7)</f>
        <v/>
      </c>
      <c r="E25" s="163">
        <f>IF(E7=0,"",E24/E7)</f>
        <v/>
      </c>
      <c r="F25" s="164">
        <f>IF(F7=0,"",F24/F7)</f>
        <v/>
      </c>
      <c r="G25" s="163">
        <f>IF(G7=0,"",G24/G7)</f>
        <v/>
      </c>
      <c r="H25" s="163">
        <f>IF(H7=0,"",H24/H7)</f>
        <v/>
      </c>
      <c r="I25" s="163">
        <f>IF(I7=0,"",I24/I7)</f>
        <v/>
      </c>
      <c r="J25" s="163">
        <f>IF(J7=0,"",J24/J7)</f>
        <v/>
      </c>
      <c r="K25" s="163">
        <f>IF(K7=0,"",K24/K7)</f>
        <v/>
      </c>
      <c r="L25" s="163">
        <f>IF(L7=0,"",L24/L7)</f>
        <v/>
      </c>
      <c r="M25" s="163">
        <f>IF(M7=0,"",M24/M7)</f>
        <v/>
      </c>
    </row>
    <row r="26">
      <c r="A26" s="9" t="n"/>
      <c r="B26" s="9" t="n"/>
      <c r="C26" s="9" t="n"/>
      <c r="D26" s="9" t="n"/>
      <c r="E26" s="9" t="n"/>
      <c r="F26" s="21" t="n"/>
      <c r="G26" s="9" t="n"/>
      <c r="H26" s="9" t="n"/>
      <c r="I26" s="9" t="n"/>
      <c r="J26" s="9" t="n"/>
      <c r="K26" s="9" t="n"/>
      <c r="L26" s="9" t="n"/>
      <c r="M26" s="9" t="n"/>
    </row>
    <row r="27">
      <c r="A27" s="5" t="inlineStr">
        <is>
          <t>CROSS-CHECK</t>
        </is>
      </c>
    </row>
    <row r="28" outlineLevel="1">
      <c r="A28" s="56" t="inlineStr">
        <is>
          <t xml:space="preserve">  Bottom-up Revenue</t>
        </is>
      </c>
      <c r="B28" s="9" t="n"/>
      <c r="C28" s="9" t="n"/>
      <c r="D28" s="66">
        <f>D20+D22+D24</f>
        <v/>
      </c>
      <c r="E28" s="66">
        <f>E20+E22+E24</f>
        <v/>
      </c>
      <c r="F28" s="67">
        <f>F20+F22+F24</f>
        <v/>
      </c>
      <c r="G28" s="66">
        <f>G20+G22+G24</f>
        <v/>
      </c>
      <c r="H28" s="66">
        <f>H20+H22+H24</f>
        <v/>
      </c>
      <c r="I28" s="66">
        <f>I20+I22+I24</f>
        <v/>
      </c>
      <c r="J28" s="66">
        <f>J20+J22+J24</f>
        <v/>
      </c>
      <c r="K28" s="66">
        <f>K20+K22+K24</f>
        <v/>
      </c>
      <c r="L28" s="66">
        <f>L20+L22+L24</f>
        <v/>
      </c>
      <c r="M28" s="66">
        <f>M20+M22+M24</f>
        <v/>
      </c>
    </row>
    <row r="29" outlineLevel="1">
      <c r="A29" s="162" t="inlineStr">
        <is>
          <t xml:space="preserve">  Top-down Implied Revenue</t>
        </is>
      </c>
      <c r="D29" s="172">
        <f>D13+D15+D17</f>
        <v/>
      </c>
      <c r="E29" s="172">
        <f>E13+E15+E17</f>
        <v/>
      </c>
      <c r="F29" s="173">
        <f>F13+F15+F17</f>
        <v/>
      </c>
      <c r="G29" s="172">
        <f>G13+G15+G17</f>
        <v/>
      </c>
      <c r="H29" s="172">
        <f>H13+H15+H17</f>
        <v/>
      </c>
      <c r="I29" s="172">
        <f>I13+I15+I17</f>
        <v/>
      </c>
      <c r="J29" s="172">
        <f>J13+J15+J17</f>
        <v/>
      </c>
      <c r="K29" s="172">
        <f>K13+K15+K17</f>
        <v/>
      </c>
      <c r="L29" s="172">
        <f>L13+L15+L17</f>
        <v/>
      </c>
      <c r="M29" s="172">
        <f>M13+M15+M17</f>
        <v/>
      </c>
    </row>
    <row r="30" outlineLevel="1">
      <c r="A30" s="56" t="inlineStr">
        <is>
          <t xml:space="preserve">  Variance %</t>
        </is>
      </c>
      <c r="B30" s="9" t="n"/>
      <c r="C30" s="9" t="n"/>
      <c r="D30" s="57">
        <f>IF(D29=0,"",D28/D29-1)</f>
        <v/>
      </c>
      <c r="E30" s="57">
        <f>IF(E29=0,"",E28/E29-1)</f>
        <v/>
      </c>
      <c r="F30" s="58">
        <f>IF(F29=0,"",F28/F29-1)</f>
        <v/>
      </c>
      <c r="G30" s="57">
        <f>IF(G29=0,"",G28/G29-1)</f>
        <v/>
      </c>
      <c r="H30" s="57">
        <f>IF(H29=0,"",H28/H29-1)</f>
        <v/>
      </c>
      <c r="I30" s="57">
        <f>IF(I29=0,"",I28/I29-1)</f>
        <v/>
      </c>
      <c r="J30" s="57">
        <f>IF(J29=0,"",J28/J29-1)</f>
        <v/>
      </c>
      <c r="K30" s="57">
        <f>IF(K29=0,"",K28/K29-1)</f>
        <v/>
      </c>
      <c r="L30" s="57">
        <f>IF(L29=0,"",L28/L29-1)</f>
        <v/>
      </c>
      <c r="M30" s="57">
        <f>IF(M29=0,"",M28/M29-1)</f>
        <v/>
      </c>
    </row>
    <row r="31">
      <c r="F31" s="158" t="n"/>
    </row>
  </sheetData>
  <mergeCells count="7">
    <mergeCell ref="D2:F2"/>
    <mergeCell ref="A19:M19"/>
    <mergeCell ref="A1:M1"/>
    <mergeCell ref="A27:M27"/>
    <mergeCell ref="A4:M4"/>
    <mergeCell ref="G2:M2"/>
    <mergeCell ref="A11:M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04040"/>
    <outlinePr summaryBelow="1" summaryRight="1"/>
    <pageSetUpPr/>
  </sheetPr>
  <dimension ref="A1:M39"/>
  <sheetViews>
    <sheetView showGridLines="0" workbookViewId="0">
      <pane xSplit="3" ySplit="3" topLeftCell="D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8" customWidth="1" min="1" max="1"/>
    <col width="10" customWidth="1" min="2" max="2"/>
    <col width="15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Income Statement</t>
        </is>
      </c>
    </row>
    <row r="2">
      <c r="D2" s="219" t="inlineStr">
        <is>
          <t>Historical</t>
        </is>
      </c>
      <c r="E2" s="228" t="n"/>
      <c r="F2" s="229" t="n"/>
      <c r="G2" s="222" t="inlineStr">
        <is>
          <t>Forecast</t>
        </is>
      </c>
      <c r="H2" s="228" t="n"/>
      <c r="I2" s="228" t="n"/>
      <c r="J2" s="228" t="n"/>
      <c r="K2" s="228" t="n"/>
      <c r="L2" s="228" t="n"/>
      <c r="M2" s="229" t="n"/>
    </row>
    <row r="3">
      <c r="D3" s="225" t="inlineStr">
        <is>
          <t>FY2023</t>
        </is>
      </c>
      <c r="E3" s="225" t="inlineStr">
        <is>
          <t>FY2024</t>
        </is>
      </c>
      <c r="F3" s="225" t="inlineStr">
        <is>
          <t>FY2025</t>
        </is>
      </c>
      <c r="G3" s="226" t="inlineStr">
        <is>
          <t>FY2026E</t>
        </is>
      </c>
      <c r="H3" s="226" t="inlineStr">
        <is>
          <t>FY2027E</t>
        </is>
      </c>
      <c r="I3" s="226" t="inlineStr">
        <is>
          <t>FY2028E</t>
        </is>
      </c>
      <c r="J3" s="226" t="inlineStr">
        <is>
          <t>FY2029E</t>
        </is>
      </c>
      <c r="K3" s="226" t="inlineStr">
        <is>
          <t>FY2030E</t>
        </is>
      </c>
      <c r="L3" s="226" t="inlineStr">
        <is>
          <t>FY2031E</t>
        </is>
      </c>
      <c r="M3" s="226" t="inlineStr">
        <is>
          <t>FY2032E</t>
        </is>
      </c>
    </row>
    <row r="4">
      <c r="A4" s="5" t="inlineStr">
        <is>
          <t>REVENUE</t>
        </is>
      </c>
    </row>
    <row r="5">
      <c r="A5" s="32" t="inlineStr">
        <is>
          <t>Total Revenue</t>
        </is>
      </c>
      <c r="B5" s="9" t="n"/>
      <c r="C5" s="9" t="n"/>
      <c r="D5" s="73">
        <f>'Key Assumptions'!D35</f>
        <v/>
      </c>
      <c r="E5" s="73">
        <f>'Key Assumptions'!E35</f>
        <v/>
      </c>
      <c r="F5" s="74">
        <f>'Key Assumptions'!F35</f>
        <v/>
      </c>
      <c r="G5" s="73">
        <f>'Key Assumptions'!G35</f>
        <v/>
      </c>
      <c r="H5" s="73">
        <f>'Key Assumptions'!H35</f>
        <v/>
      </c>
      <c r="I5" s="73">
        <f>'Key Assumptions'!I35</f>
        <v/>
      </c>
      <c r="J5" s="73">
        <f>'Key Assumptions'!J35</f>
        <v/>
      </c>
      <c r="K5" s="73">
        <f>'Key Assumptions'!K35</f>
        <v/>
      </c>
      <c r="L5" s="73">
        <f>'Key Assumptions'!L35</f>
        <v/>
      </c>
      <c r="M5" s="73">
        <f>'Key Assumptions'!M35</f>
        <v/>
      </c>
    </row>
    <row r="6" outlineLevel="1">
      <c r="A6" s="162" t="inlineStr">
        <is>
          <t xml:space="preserve">  Segment A</t>
        </is>
      </c>
      <c r="D6" s="176">
        <f>'Key Assumptions'!D18</f>
        <v/>
      </c>
      <c r="E6" s="176">
        <f>'Key Assumptions'!E18</f>
        <v/>
      </c>
      <c r="F6" s="177">
        <f>'Key Assumptions'!F18</f>
        <v/>
      </c>
      <c r="G6" s="176">
        <f>'Key Assumptions'!G18</f>
        <v/>
      </c>
      <c r="H6" s="176">
        <f>'Key Assumptions'!H18</f>
        <v/>
      </c>
      <c r="I6" s="176">
        <f>'Key Assumptions'!I18</f>
        <v/>
      </c>
      <c r="J6" s="176">
        <f>'Key Assumptions'!J18</f>
        <v/>
      </c>
      <c r="K6" s="176">
        <f>'Key Assumptions'!K18</f>
        <v/>
      </c>
      <c r="L6" s="176">
        <f>'Key Assumptions'!L18</f>
        <v/>
      </c>
      <c r="M6" s="176">
        <f>'Key Assumptions'!M18</f>
        <v/>
      </c>
    </row>
    <row r="7" outlineLevel="1">
      <c r="A7" s="56" t="inlineStr">
        <is>
          <t xml:space="preserve">  Segment B</t>
        </is>
      </c>
      <c r="B7" s="9" t="n"/>
      <c r="C7" s="9" t="n"/>
      <c r="D7" s="62">
        <f>'Key Assumptions'!D25</f>
        <v/>
      </c>
      <c r="E7" s="62">
        <f>'Key Assumptions'!E25</f>
        <v/>
      </c>
      <c r="F7" s="63">
        <f>'Key Assumptions'!F25</f>
        <v/>
      </c>
      <c r="G7" s="62">
        <f>'Key Assumptions'!G25</f>
        <v/>
      </c>
      <c r="H7" s="62">
        <f>'Key Assumptions'!H25</f>
        <v/>
      </c>
      <c r="I7" s="62">
        <f>'Key Assumptions'!I25</f>
        <v/>
      </c>
      <c r="J7" s="62">
        <f>'Key Assumptions'!J25</f>
        <v/>
      </c>
      <c r="K7" s="62">
        <f>'Key Assumptions'!K25</f>
        <v/>
      </c>
      <c r="L7" s="62">
        <f>'Key Assumptions'!L25</f>
        <v/>
      </c>
      <c r="M7" s="62">
        <f>'Key Assumptions'!M25</f>
        <v/>
      </c>
    </row>
    <row r="8" outlineLevel="1">
      <c r="A8" s="162" t="inlineStr">
        <is>
          <t xml:space="preserve">  Segment C</t>
        </is>
      </c>
      <c r="D8" s="176">
        <f>'Key Assumptions'!D32</f>
        <v/>
      </c>
      <c r="E8" s="176">
        <f>'Key Assumptions'!E32</f>
        <v/>
      </c>
      <c r="F8" s="177">
        <f>'Key Assumptions'!F32</f>
        <v/>
      </c>
      <c r="G8" s="176">
        <f>'Key Assumptions'!G32</f>
        <v/>
      </c>
      <c r="H8" s="176">
        <f>'Key Assumptions'!H32</f>
        <v/>
      </c>
      <c r="I8" s="176">
        <f>'Key Assumptions'!I32</f>
        <v/>
      </c>
      <c r="J8" s="176">
        <f>'Key Assumptions'!J32</f>
        <v/>
      </c>
      <c r="K8" s="176">
        <f>'Key Assumptions'!K32</f>
        <v/>
      </c>
      <c r="L8" s="176">
        <f>'Key Assumptions'!L32</f>
        <v/>
      </c>
      <c r="M8" s="176">
        <f>'Key Assumptions'!M32</f>
        <v/>
      </c>
    </row>
    <row r="9">
      <c r="A9" s="9" t="n"/>
      <c r="B9" s="9" t="n"/>
      <c r="C9" s="9" t="n"/>
      <c r="D9" s="9" t="n"/>
      <c r="E9" s="9" t="n"/>
      <c r="F9" s="21" t="n"/>
      <c r="G9" s="9" t="n"/>
      <c r="H9" s="9" t="n"/>
      <c r="I9" s="9" t="n"/>
      <c r="J9" s="9" t="n"/>
      <c r="K9" s="9" t="n"/>
      <c r="L9" s="9" t="n"/>
      <c r="M9" s="9" t="n"/>
    </row>
    <row r="10">
      <c r="A10" s="5" t="inlineStr">
        <is>
          <t>COST OF GOODS SOLD</t>
        </is>
      </c>
    </row>
    <row r="11">
      <c r="A11" s="32" t="inlineStr">
        <is>
          <t>Total COGS</t>
        </is>
      </c>
      <c r="B11" s="9" t="n"/>
      <c r="C11" s="9" t="n"/>
      <c r="D11" s="73">
        <f>'Key Assumptions'!D56</f>
        <v/>
      </c>
      <c r="E11" s="73">
        <f>'Key Assumptions'!E56</f>
        <v/>
      </c>
      <c r="F11" s="74">
        <f>'Key Assumptions'!F56</f>
        <v/>
      </c>
      <c r="G11" s="73">
        <f>'Key Assumptions'!G56</f>
        <v/>
      </c>
      <c r="H11" s="73">
        <f>'Key Assumptions'!H56</f>
        <v/>
      </c>
      <c r="I11" s="73">
        <f>'Key Assumptions'!I56</f>
        <v/>
      </c>
      <c r="J11" s="73">
        <f>'Key Assumptions'!J56</f>
        <v/>
      </c>
      <c r="K11" s="73">
        <f>'Key Assumptions'!K56</f>
        <v/>
      </c>
      <c r="L11" s="73">
        <f>'Key Assumptions'!L56</f>
        <v/>
      </c>
      <c r="M11" s="73">
        <f>'Key Assumptions'!M56</f>
        <v/>
      </c>
    </row>
    <row r="12">
      <c r="A12" s="169" t="inlineStr">
        <is>
          <t>Gross Profit</t>
        </is>
      </c>
      <c r="B12" s="170" t="n"/>
      <c r="C12" s="170" t="n"/>
      <c r="D12" s="171">
        <f>D5-D11</f>
        <v/>
      </c>
      <c r="E12" s="171">
        <f>E5-E11</f>
        <v/>
      </c>
      <c r="F12" s="168">
        <f>F5-F11</f>
        <v/>
      </c>
      <c r="G12" s="171">
        <f>G5-G11</f>
        <v/>
      </c>
      <c r="H12" s="171">
        <f>H5-H11</f>
        <v/>
      </c>
      <c r="I12" s="171">
        <f>I5-I11</f>
        <v/>
      </c>
      <c r="J12" s="171">
        <f>J5-J11</f>
        <v/>
      </c>
      <c r="K12" s="171">
        <f>K5-K11</f>
        <v/>
      </c>
      <c r="L12" s="171">
        <f>L5-L11</f>
        <v/>
      </c>
      <c r="M12" s="171">
        <f>M5-M11</f>
        <v/>
      </c>
    </row>
    <row r="13">
      <c r="A13" s="9" t="inlineStr">
        <is>
          <t>Gross Margin %</t>
        </is>
      </c>
      <c r="B13" s="9" t="n"/>
      <c r="C13" s="9" t="n"/>
      <c r="D13" s="57">
        <f>IF(D5=0,"",D12/D5)</f>
        <v/>
      </c>
      <c r="E13" s="57">
        <f>IF(E5=0,"",E12/E5)</f>
        <v/>
      </c>
      <c r="F13" s="58">
        <f>IF(F5=0,"",F12/F5)</f>
        <v/>
      </c>
      <c r="G13" s="57">
        <f>IF(G5=0,"",G12/G5)</f>
        <v/>
      </c>
      <c r="H13" s="57">
        <f>IF(H5=0,"",H12/H5)</f>
        <v/>
      </c>
      <c r="I13" s="57">
        <f>IF(I5=0,"",I12/I5)</f>
        <v/>
      </c>
      <c r="J13" s="57">
        <f>IF(J5=0,"",J12/J5)</f>
        <v/>
      </c>
      <c r="K13" s="57">
        <f>IF(K5=0,"",K12/K5)</f>
        <v/>
      </c>
      <c r="L13" s="57">
        <f>IF(L5=0,"",L12/L5)</f>
        <v/>
      </c>
      <c r="M13" s="57">
        <f>IF(M5=0,"",M12/M5)</f>
        <v/>
      </c>
    </row>
    <row r="14">
      <c r="F14" s="158" t="n"/>
    </row>
    <row r="15">
      <c r="A15" s="5" t="inlineStr">
        <is>
          <t>OPERATING EXPENSES</t>
        </is>
      </c>
    </row>
    <row r="16" outlineLevel="1">
      <c r="A16" s="32" t="inlineStr">
        <is>
          <t>SG&amp;A</t>
        </is>
      </c>
      <c r="B16" s="9" t="n"/>
      <c r="C16" s="9" t="n"/>
      <c r="D16" s="73">
        <f>'Key Assumptions'!D66</f>
        <v/>
      </c>
      <c r="E16" s="73">
        <f>'Key Assumptions'!E66</f>
        <v/>
      </c>
      <c r="F16" s="74">
        <f>'Key Assumptions'!F66</f>
        <v/>
      </c>
      <c r="G16" s="73">
        <f>'Key Assumptions'!G66</f>
        <v/>
      </c>
      <c r="H16" s="73">
        <f>'Key Assumptions'!H66</f>
        <v/>
      </c>
      <c r="I16" s="73">
        <f>'Key Assumptions'!I66</f>
        <v/>
      </c>
      <c r="J16" s="73">
        <f>'Key Assumptions'!J66</f>
        <v/>
      </c>
      <c r="K16" s="73">
        <f>'Key Assumptions'!K66</f>
        <v/>
      </c>
      <c r="L16" s="73">
        <f>'Key Assumptions'!L66</f>
        <v/>
      </c>
      <c r="M16" s="73">
        <f>'Key Assumptions'!M66</f>
        <v/>
      </c>
    </row>
    <row r="17">
      <c r="A17" s="169" t="inlineStr">
        <is>
          <t>EBIT</t>
        </is>
      </c>
      <c r="B17" s="170" t="n"/>
      <c r="C17" s="170" t="n"/>
      <c r="D17" s="171">
        <f>D12-D16</f>
        <v/>
      </c>
      <c r="E17" s="171">
        <f>E12-E16</f>
        <v/>
      </c>
      <c r="F17" s="168">
        <f>F12-F16</f>
        <v/>
      </c>
      <c r="G17" s="171">
        <f>G12-G16</f>
        <v/>
      </c>
      <c r="H17" s="171">
        <f>H12-H16</f>
        <v/>
      </c>
      <c r="I17" s="171">
        <f>I12-I16</f>
        <v/>
      </c>
      <c r="J17" s="171">
        <f>J12-J16</f>
        <v/>
      </c>
      <c r="K17" s="171">
        <f>K12-K16</f>
        <v/>
      </c>
      <c r="L17" s="171">
        <f>L12-L16</f>
        <v/>
      </c>
      <c r="M17" s="171">
        <f>M12-M16</f>
        <v/>
      </c>
    </row>
    <row r="18">
      <c r="A18" s="9" t="inlineStr">
        <is>
          <t>EBIT Margin %</t>
        </is>
      </c>
      <c r="B18" s="9" t="n"/>
      <c r="C18" s="9" t="n"/>
      <c r="D18" s="57">
        <f>IF(D5=0,"",D17/D5)</f>
        <v/>
      </c>
      <c r="E18" s="57">
        <f>IF(E5=0,"",E17/E5)</f>
        <v/>
      </c>
      <c r="F18" s="58">
        <f>IF(F5=0,"",F17/F5)</f>
        <v/>
      </c>
      <c r="G18" s="57">
        <f>IF(G5=0,"",G17/G5)</f>
        <v/>
      </c>
      <c r="H18" s="57">
        <f>IF(H5=0,"",H17/H5)</f>
        <v/>
      </c>
      <c r="I18" s="57">
        <f>IF(I5=0,"",I17/I5)</f>
        <v/>
      </c>
      <c r="J18" s="57">
        <f>IF(J5=0,"",J17/J5)</f>
        <v/>
      </c>
      <c r="K18" s="57">
        <f>IF(K5=0,"",K17/K5)</f>
        <v/>
      </c>
      <c r="L18" s="57">
        <f>IF(L5=0,"",L17/L5)</f>
        <v/>
      </c>
      <c r="M18" s="57">
        <f>IF(M5=0,"",M17/M5)</f>
        <v/>
      </c>
    </row>
    <row r="19">
      <c r="A19" s="178" t="inlineStr">
        <is>
          <t>D&amp;A</t>
        </is>
      </c>
      <c r="D19" s="176" t="n">
        <v>0</v>
      </c>
      <c r="E19" s="176" t="n">
        <v>0</v>
      </c>
      <c r="F19" s="177" t="n">
        <v>0</v>
      </c>
      <c r="G19" s="176" t="n">
        <v>0</v>
      </c>
      <c r="H19" s="176" t="n">
        <v>0</v>
      </c>
      <c r="I19" s="176" t="n">
        <v>0</v>
      </c>
      <c r="J19" s="176" t="n">
        <v>0</v>
      </c>
      <c r="K19" s="176" t="n">
        <v>0</v>
      </c>
      <c r="L19" s="176" t="n">
        <v>0</v>
      </c>
      <c r="M19" s="176" t="n">
        <v>0</v>
      </c>
    </row>
    <row r="20">
      <c r="A20" s="32" t="inlineStr">
        <is>
          <t>EBITDA</t>
        </is>
      </c>
      <c r="B20" s="9" t="n"/>
      <c r="C20" s="9" t="n"/>
      <c r="D20" s="42">
        <f>D17+D19</f>
        <v/>
      </c>
      <c r="E20" s="42">
        <f>E17+E19</f>
        <v/>
      </c>
      <c r="F20" s="43">
        <f>F17+F19</f>
        <v/>
      </c>
      <c r="G20" s="42">
        <f>G17+G19</f>
        <v/>
      </c>
      <c r="H20" s="42">
        <f>H17+H19</f>
        <v/>
      </c>
      <c r="I20" s="42">
        <f>I17+I19</f>
        <v/>
      </c>
      <c r="J20" s="42">
        <f>J17+J19</f>
        <v/>
      </c>
      <c r="K20" s="42">
        <f>K17+K19</f>
        <v/>
      </c>
      <c r="L20" s="42">
        <f>L17+L19</f>
        <v/>
      </c>
      <c r="M20" s="42">
        <f>M17+M19</f>
        <v/>
      </c>
    </row>
    <row r="21">
      <c r="A21" s="178" t="inlineStr">
        <is>
          <t>EBITDA Margin %</t>
        </is>
      </c>
      <c r="D21" s="163">
        <f>IF(D5=0,"",D20/D5)</f>
        <v/>
      </c>
      <c r="E21" s="163">
        <f>IF(E5=0,"",E20/E5)</f>
        <v/>
      </c>
      <c r="F21" s="164">
        <f>IF(F5=0,"",F20/F5)</f>
        <v/>
      </c>
      <c r="G21" s="163">
        <f>IF(G5=0,"",G20/G5)</f>
        <v/>
      </c>
      <c r="H21" s="163">
        <f>IF(H5=0,"",H20/H5)</f>
        <v/>
      </c>
      <c r="I21" s="163">
        <f>IF(I5=0,"",I20/I5)</f>
        <v/>
      </c>
      <c r="J21" s="163">
        <f>IF(J5=0,"",J20/J5)</f>
        <v/>
      </c>
      <c r="K21" s="163">
        <f>IF(K5=0,"",K20/K5)</f>
        <v/>
      </c>
      <c r="L21" s="163">
        <f>IF(L5=0,"",L20/L5)</f>
        <v/>
      </c>
      <c r="M21" s="163">
        <f>IF(M5=0,"",M20/M5)</f>
        <v/>
      </c>
    </row>
    <row r="22">
      <c r="A22" s="9" t="n"/>
      <c r="B22" s="9" t="n"/>
      <c r="C22" s="9" t="n"/>
      <c r="D22" s="9" t="n"/>
      <c r="E22" s="9" t="n"/>
      <c r="F22" s="21" t="n"/>
      <c r="G22" s="9" t="n"/>
      <c r="H22" s="9" t="n"/>
      <c r="I22" s="9" t="n"/>
      <c r="J22" s="9" t="n"/>
      <c r="K22" s="9" t="n"/>
      <c r="L22" s="9" t="n"/>
      <c r="M22" s="9" t="n"/>
    </row>
    <row r="23">
      <c r="A23" s="5" t="inlineStr">
        <is>
          <t>BELOW THE LINE</t>
        </is>
      </c>
    </row>
    <row r="24" outlineLevel="1">
      <c r="A24" s="56" t="inlineStr">
        <is>
          <t xml:space="preserve">  Interest Expense</t>
        </is>
      </c>
      <c r="B24" s="9" t="n"/>
      <c r="C24" s="9" t="n"/>
      <c r="D24" s="62" t="n">
        <v>0</v>
      </c>
      <c r="E24" s="62" t="n">
        <v>0</v>
      </c>
      <c r="F24" s="63" t="n">
        <v>0</v>
      </c>
      <c r="G24" s="62" t="n">
        <v>0</v>
      </c>
      <c r="H24" s="62" t="n">
        <v>0</v>
      </c>
      <c r="I24" s="62" t="n">
        <v>0</v>
      </c>
      <c r="J24" s="62" t="n">
        <v>0</v>
      </c>
      <c r="K24" s="62" t="n">
        <v>0</v>
      </c>
      <c r="L24" s="62" t="n">
        <v>0</v>
      </c>
      <c r="M24" s="62" t="n">
        <v>0</v>
      </c>
    </row>
    <row r="25" outlineLevel="1">
      <c r="A25" s="162" t="inlineStr">
        <is>
          <t xml:space="preserve">  Other Income/Expense</t>
        </is>
      </c>
      <c r="D25" s="139" t="n"/>
      <c r="E25" s="139" t="n"/>
      <c r="F25" s="160" t="n"/>
      <c r="G25" s="139" t="n"/>
      <c r="H25" s="139" t="n"/>
      <c r="I25" s="139" t="n"/>
      <c r="J25" s="139" t="n"/>
      <c r="K25" s="139" t="n"/>
      <c r="L25" s="139" t="n"/>
      <c r="M25" s="139" t="n"/>
    </row>
    <row r="26">
      <c r="A26" s="75" t="inlineStr">
        <is>
          <t>EBT (Earnings Before Tax)</t>
        </is>
      </c>
      <c r="B26" s="76" t="n"/>
      <c r="C26" s="76" t="n"/>
      <c r="D26" s="77">
        <f>D17-D24+D25</f>
        <v/>
      </c>
      <c r="E26" s="77">
        <f>E17-E24+E25</f>
        <v/>
      </c>
      <c r="F26" s="43">
        <f>F17-F24+F25</f>
        <v/>
      </c>
      <c r="G26" s="77">
        <f>G17-G24+G25</f>
        <v/>
      </c>
      <c r="H26" s="77">
        <f>H17-H24+H25</f>
        <v/>
      </c>
      <c r="I26" s="77">
        <f>I17-I24+I25</f>
        <v/>
      </c>
      <c r="J26" s="77">
        <f>J17-J24+J25</f>
        <v/>
      </c>
      <c r="K26" s="77">
        <f>K17-K24+K25</f>
        <v/>
      </c>
      <c r="L26" s="77">
        <f>L17-L24+L25</f>
        <v/>
      </c>
      <c r="M26" s="77">
        <f>M17-M24+M25</f>
        <v/>
      </c>
    </row>
    <row r="27">
      <c r="A27" s="162" t="inlineStr">
        <is>
          <t xml:space="preserve">  Income Tax</t>
        </is>
      </c>
      <c r="D27" s="172">
        <f>MAX(0,D26*'Key Assumptions'!D90)</f>
        <v/>
      </c>
      <c r="E27" s="172">
        <f>MAX(0,E26*'Key Assumptions'!E90)</f>
        <v/>
      </c>
      <c r="F27" s="173">
        <f>MAX(0,F26*'Key Assumptions'!F90)</f>
        <v/>
      </c>
      <c r="G27" s="172">
        <f>MAX(0,G26*'Key Assumptions'!G90)</f>
        <v/>
      </c>
      <c r="H27" s="172">
        <f>MAX(0,H26*'Key Assumptions'!H90)</f>
        <v/>
      </c>
      <c r="I27" s="172">
        <f>MAX(0,I26*'Key Assumptions'!I90)</f>
        <v/>
      </c>
      <c r="J27" s="172">
        <f>MAX(0,J26*'Key Assumptions'!J90)</f>
        <v/>
      </c>
      <c r="K27" s="172">
        <f>MAX(0,K26*'Key Assumptions'!K90)</f>
        <v/>
      </c>
      <c r="L27" s="172">
        <f>MAX(0,L26*'Key Assumptions'!L90)</f>
        <v/>
      </c>
      <c r="M27" s="172">
        <f>MAX(0,M26*'Key Assumptions'!M90)</f>
        <v/>
      </c>
    </row>
    <row r="28">
      <c r="A28" s="78" t="inlineStr">
        <is>
          <t>Net Income</t>
        </is>
      </c>
      <c r="B28" s="79" t="n"/>
      <c r="C28" s="79" t="n"/>
      <c r="D28" s="80">
        <f>D26-D27</f>
        <v/>
      </c>
      <c r="E28" s="80">
        <f>E26-E27</f>
        <v/>
      </c>
      <c r="F28" s="43">
        <f>F26-F27</f>
        <v/>
      </c>
      <c r="G28" s="80">
        <f>G26-G27</f>
        <v/>
      </c>
      <c r="H28" s="80">
        <f>H26-H27</f>
        <v/>
      </c>
      <c r="I28" s="80">
        <f>I26-I27</f>
        <v/>
      </c>
      <c r="J28" s="80">
        <f>J26-J27</f>
        <v/>
      </c>
      <c r="K28" s="80">
        <f>K26-K27</f>
        <v/>
      </c>
      <c r="L28" s="80">
        <f>L26-L27</f>
        <v/>
      </c>
      <c r="M28" s="80">
        <f>M26-M27</f>
        <v/>
      </c>
    </row>
    <row r="29">
      <c r="A29" s="178" t="inlineStr">
        <is>
          <t>Net Margin %</t>
        </is>
      </c>
      <c r="D29" s="163">
        <f>IF(D5=0,"",D28/D5)</f>
        <v/>
      </c>
      <c r="E29" s="163">
        <f>IF(E5=0,"",E28/E5)</f>
        <v/>
      </c>
      <c r="F29" s="164">
        <f>IF(F5=0,"",F28/F5)</f>
        <v/>
      </c>
      <c r="G29" s="163">
        <f>IF(G5=0,"",G28/G5)</f>
        <v/>
      </c>
      <c r="H29" s="163">
        <f>IF(H5=0,"",H28/H5)</f>
        <v/>
      </c>
      <c r="I29" s="163">
        <f>IF(I5=0,"",I28/I5)</f>
        <v/>
      </c>
      <c r="J29" s="163">
        <f>IF(J5=0,"",J28/J5)</f>
        <v/>
      </c>
      <c r="K29" s="163">
        <f>IF(K5=0,"",K28/K5)</f>
        <v/>
      </c>
      <c r="L29" s="163">
        <f>IF(L5=0,"",L28/L5)</f>
        <v/>
      </c>
      <c r="M29" s="163">
        <f>IF(M5=0,"",M28/M5)</f>
        <v/>
      </c>
    </row>
    <row r="30">
      <c r="A30" s="9" t="n"/>
      <c r="B30" s="9" t="n"/>
      <c r="C30" s="9" t="n"/>
      <c r="D30" s="9" t="n"/>
      <c r="E30" s="9" t="n"/>
      <c r="F30" s="21" t="n"/>
      <c r="G30" s="9" t="n"/>
      <c r="H30" s="9" t="n"/>
      <c r="I30" s="9" t="n"/>
      <c r="J30" s="9" t="n"/>
      <c r="K30" s="9" t="n"/>
      <c r="L30" s="9" t="n"/>
      <c r="M30" s="9" t="n"/>
    </row>
    <row r="32">
      <c r="A32" s="241" t="inlineStr">
        <is>
          <t>CREDIT METRICS</t>
        </is>
      </c>
      <c r="B32" s="242" t="n"/>
      <c r="C32" s="242" t="n"/>
      <c r="D32" s="242" t="n"/>
      <c r="E32" s="242" t="n"/>
      <c r="F32" s="242" t="n"/>
      <c r="G32" s="242" t="n"/>
      <c r="H32" s="242" t="n"/>
      <c r="I32" s="242" t="n"/>
      <c r="J32" s="242" t="n"/>
      <c r="K32" s="242" t="n"/>
      <c r="L32" s="242" t="n"/>
      <c r="M32" s="242" t="n"/>
    </row>
    <row r="33">
      <c r="A33" s="85" t="inlineStr">
        <is>
          <t>Leverage &amp; Coverage Ratios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</row>
    <row r="34">
      <c r="A34" s="145" t="inlineStr">
        <is>
          <t>EBITDA</t>
        </is>
      </c>
      <c r="D34" s="146" t="n"/>
      <c r="E34" s="146" t="n"/>
      <c r="F34" s="146" t="n"/>
      <c r="G34" s="146" t="n"/>
      <c r="H34" s="146" t="n"/>
      <c r="I34" s="146" t="n"/>
      <c r="J34" s="146" t="n"/>
      <c r="K34" s="146" t="n"/>
      <c r="L34" s="146" t="n"/>
      <c r="M34" s="146" t="n"/>
    </row>
    <row r="35">
      <c r="A35" s="145" t="inlineStr">
        <is>
          <t>Net Debt</t>
        </is>
      </c>
      <c r="D35" s="146" t="n"/>
      <c r="E35" s="146" t="n"/>
      <c r="F35" s="146" t="n"/>
      <c r="G35" s="146" t="n"/>
      <c r="H35" s="146" t="n"/>
      <c r="I35" s="146" t="n"/>
      <c r="J35" s="146" t="n"/>
      <c r="K35" s="146" t="n"/>
      <c r="L35" s="146" t="n"/>
      <c r="M35" s="146" t="n"/>
    </row>
    <row r="36">
      <c r="A36" s="150" t="inlineStr">
        <is>
          <t>Net Debt / EBITDA</t>
        </is>
      </c>
      <c r="D36" s="209" t="n"/>
      <c r="E36" s="209" t="n"/>
      <c r="F36" s="209" t="n"/>
      <c r="G36" s="209" t="n"/>
      <c r="H36" s="209" t="n"/>
      <c r="I36" s="209" t="n"/>
      <c r="J36" s="209" t="n"/>
      <c r="K36" s="209" t="n"/>
      <c r="L36" s="209" t="n"/>
      <c r="M36" s="209" t="n"/>
    </row>
    <row r="37">
      <c r="A37" s="150" t="inlineStr">
        <is>
          <t>Interest Coverage (EBITDA / Interest)</t>
        </is>
      </c>
      <c r="D37" s="209" t="n"/>
      <c r="E37" s="209" t="n"/>
      <c r="F37" s="209" t="n"/>
      <c r="G37" s="209" t="n"/>
      <c r="H37" s="209" t="n"/>
      <c r="I37" s="209" t="n"/>
      <c r="J37" s="209" t="n"/>
      <c r="K37" s="209" t="n"/>
      <c r="L37" s="209" t="n"/>
      <c r="M37" s="209" t="n"/>
    </row>
    <row r="38">
      <c r="A38" s="150" t="inlineStr">
        <is>
          <t>Debt Service Coverage</t>
        </is>
      </c>
      <c r="D38" s="209" t="n"/>
      <c r="E38" s="209" t="n"/>
      <c r="F38" s="209" t="n"/>
      <c r="G38" s="209" t="n"/>
      <c r="H38" s="209" t="n"/>
      <c r="I38" s="209" t="n"/>
      <c r="J38" s="209" t="n"/>
      <c r="K38" s="209" t="n"/>
      <c r="L38" s="209" t="n"/>
      <c r="M38" s="209" t="n"/>
    </row>
    <row r="39">
      <c r="A39" s="150" t="inlineStr">
        <is>
          <t>Net Debt / Equity</t>
        </is>
      </c>
      <c r="D39" s="209" t="n"/>
      <c r="E39" s="209" t="n"/>
      <c r="F39" s="209" t="n"/>
      <c r="G39" s="209" t="n"/>
      <c r="H39" s="209" t="n"/>
      <c r="I39" s="209" t="n"/>
      <c r="J39" s="209" t="n"/>
      <c r="K39" s="209" t="n"/>
      <c r="L39" s="209" t="n"/>
      <c r="M39" s="209" t="n"/>
    </row>
  </sheetData>
  <mergeCells count="8">
    <mergeCell ref="D2:F2"/>
    <mergeCell ref="A1:M1"/>
    <mergeCell ref="A23:M23"/>
    <mergeCell ref="A32:M32"/>
    <mergeCell ref="A4:M4"/>
    <mergeCell ref="A15:M15"/>
    <mergeCell ref="G2:M2"/>
    <mergeCell ref="A10:M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404040"/>
    <outlinePr summaryBelow="1" summaryRight="1"/>
    <pageSetUpPr/>
  </sheetPr>
  <dimension ref="A1:M41"/>
  <sheetViews>
    <sheetView showGridLines="0" workbookViewId="0">
      <pane xSplit="3" ySplit="3" topLeftCell="D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8" customWidth="1" min="1" max="1"/>
    <col width="10" customWidth="1" min="2" max="2"/>
    <col width="15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Balance Sheet</t>
        </is>
      </c>
    </row>
    <row r="2">
      <c r="D2" s="219" t="inlineStr">
        <is>
          <t>Historical</t>
        </is>
      </c>
      <c r="E2" s="228" t="n"/>
      <c r="F2" s="229" t="n"/>
      <c r="G2" s="222" t="inlineStr">
        <is>
          <t>Forecast</t>
        </is>
      </c>
      <c r="H2" s="228" t="n"/>
      <c r="I2" s="228" t="n"/>
      <c r="J2" s="228" t="n"/>
      <c r="K2" s="228" t="n"/>
      <c r="L2" s="228" t="n"/>
      <c r="M2" s="229" t="n"/>
    </row>
    <row r="3">
      <c r="D3" s="225" t="inlineStr">
        <is>
          <t>FY2023</t>
        </is>
      </c>
      <c r="E3" s="225" t="inlineStr">
        <is>
          <t>FY2024</t>
        </is>
      </c>
      <c r="F3" s="225" t="inlineStr">
        <is>
          <t>FY2025</t>
        </is>
      </c>
      <c r="G3" s="226" t="inlineStr">
        <is>
          <t>FY2026E</t>
        </is>
      </c>
      <c r="H3" s="226" t="inlineStr">
        <is>
          <t>FY2027E</t>
        </is>
      </c>
      <c r="I3" s="226" t="inlineStr">
        <is>
          <t>FY2028E</t>
        </is>
      </c>
      <c r="J3" s="226" t="inlineStr">
        <is>
          <t>FY2029E</t>
        </is>
      </c>
      <c r="K3" s="226" t="inlineStr">
        <is>
          <t>FY2030E</t>
        </is>
      </c>
      <c r="L3" s="226" t="inlineStr">
        <is>
          <t>FY2031E</t>
        </is>
      </c>
      <c r="M3" s="226" t="inlineStr">
        <is>
          <t>FY2032E</t>
        </is>
      </c>
    </row>
    <row r="4">
      <c r="A4" s="5" t="inlineStr">
        <is>
          <t>CURRENT ASSETS</t>
        </is>
      </c>
    </row>
    <row r="5" outlineLevel="1">
      <c r="A5" s="56" t="inlineStr">
        <is>
          <t xml:space="preserve">  Cash &amp; Equivalents</t>
        </is>
      </c>
      <c r="B5" s="9" t="n"/>
      <c r="C5" s="9" t="n"/>
      <c r="D5" s="62" t="n">
        <v>0</v>
      </c>
      <c r="E5" s="62" t="n">
        <v>0</v>
      </c>
      <c r="F5" s="63" t="n">
        <v>0</v>
      </c>
      <c r="G5" s="62" t="n">
        <v>0</v>
      </c>
      <c r="H5" s="62" t="n">
        <v>0</v>
      </c>
      <c r="I5" s="62" t="n">
        <v>0</v>
      </c>
      <c r="J5" s="62" t="n">
        <v>0</v>
      </c>
      <c r="K5" s="62" t="n">
        <v>0</v>
      </c>
      <c r="L5" s="62" t="n">
        <v>0</v>
      </c>
      <c r="M5" s="62" t="n">
        <v>0</v>
      </c>
    </row>
    <row r="6" outlineLevel="1">
      <c r="A6" s="162" t="inlineStr">
        <is>
          <t xml:space="preserve">  Accounts Receivable</t>
        </is>
      </c>
      <c r="D6" s="172">
        <f>'Income Statement'!D5/365*'Key Assumptions'!D70</f>
        <v/>
      </c>
      <c r="E6" s="172">
        <f>'Income Statement'!E5/365*'Key Assumptions'!E70</f>
        <v/>
      </c>
      <c r="F6" s="173">
        <f>'Income Statement'!F5/365*'Key Assumptions'!F70</f>
        <v/>
      </c>
      <c r="G6" s="172">
        <f>'Income Statement'!G5/365*'Key Assumptions'!G70</f>
        <v/>
      </c>
      <c r="H6" s="172">
        <f>'Income Statement'!H5/365*'Key Assumptions'!H70</f>
        <v/>
      </c>
      <c r="I6" s="172">
        <f>'Income Statement'!I5/365*'Key Assumptions'!I70</f>
        <v/>
      </c>
      <c r="J6" s="172">
        <f>'Income Statement'!J5/365*'Key Assumptions'!J70</f>
        <v/>
      </c>
      <c r="K6" s="172">
        <f>'Income Statement'!K5/365*'Key Assumptions'!K70</f>
        <v/>
      </c>
      <c r="L6" s="172">
        <f>'Income Statement'!L5/365*'Key Assumptions'!L70</f>
        <v/>
      </c>
      <c r="M6" s="172">
        <f>'Income Statement'!M5/365*'Key Assumptions'!M70</f>
        <v/>
      </c>
    </row>
    <row r="7" outlineLevel="1">
      <c r="A7" s="56" t="inlineStr">
        <is>
          <t xml:space="preserve">  Inventory</t>
        </is>
      </c>
      <c r="B7" s="9" t="n"/>
      <c r="C7" s="9" t="n"/>
      <c r="D7" s="66">
        <f>'Income Statement'!D11/365*'Key Assumptions'!D72</f>
        <v/>
      </c>
      <c r="E7" s="66">
        <f>'Income Statement'!E11/365*'Key Assumptions'!E72</f>
        <v/>
      </c>
      <c r="F7" s="67">
        <f>'Income Statement'!F11/365*'Key Assumptions'!F72</f>
        <v/>
      </c>
      <c r="G7" s="66">
        <f>'Income Statement'!G11/365*'Key Assumptions'!G72</f>
        <v/>
      </c>
      <c r="H7" s="66">
        <f>'Income Statement'!H11/365*'Key Assumptions'!H72</f>
        <v/>
      </c>
      <c r="I7" s="66">
        <f>'Income Statement'!I11/365*'Key Assumptions'!I72</f>
        <v/>
      </c>
      <c r="J7" s="66">
        <f>'Income Statement'!J11/365*'Key Assumptions'!J72</f>
        <v/>
      </c>
      <c r="K7" s="66">
        <f>'Income Statement'!K11/365*'Key Assumptions'!K72</f>
        <v/>
      </c>
      <c r="L7" s="66">
        <f>'Income Statement'!L11/365*'Key Assumptions'!L72</f>
        <v/>
      </c>
      <c r="M7" s="66">
        <f>'Income Statement'!M11/365*'Key Assumptions'!M72</f>
        <v/>
      </c>
    </row>
    <row r="8" outlineLevel="1">
      <c r="A8" s="162" t="inlineStr">
        <is>
          <t xml:space="preserve">  Prepaid Expenses</t>
        </is>
      </c>
      <c r="D8" s="172">
        <f>'Income Statement'!D5/365*'Key Assumptions'!D73</f>
        <v/>
      </c>
      <c r="E8" s="172">
        <f>'Income Statement'!E5/365*'Key Assumptions'!E73</f>
        <v/>
      </c>
      <c r="F8" s="173">
        <f>'Income Statement'!F5/365*'Key Assumptions'!F73</f>
        <v/>
      </c>
      <c r="G8" s="172">
        <f>'Income Statement'!G5/365*'Key Assumptions'!G73</f>
        <v/>
      </c>
      <c r="H8" s="172">
        <f>'Income Statement'!H5/365*'Key Assumptions'!H73</f>
        <v/>
      </c>
      <c r="I8" s="172">
        <f>'Income Statement'!I5/365*'Key Assumptions'!I73</f>
        <v/>
      </c>
      <c r="J8" s="172">
        <f>'Income Statement'!J5/365*'Key Assumptions'!J73</f>
        <v/>
      </c>
      <c r="K8" s="172">
        <f>'Income Statement'!K5/365*'Key Assumptions'!K73</f>
        <v/>
      </c>
      <c r="L8" s="172">
        <f>'Income Statement'!L5/365*'Key Assumptions'!L73</f>
        <v/>
      </c>
      <c r="M8" s="172">
        <f>'Income Statement'!M5/365*'Key Assumptions'!M73</f>
        <v/>
      </c>
    </row>
    <row r="9" outlineLevel="1">
      <c r="A9" s="56" t="inlineStr">
        <is>
          <t xml:space="preserve">  Other Current Assets</t>
        </is>
      </c>
      <c r="B9" s="9" t="n"/>
      <c r="C9" s="9" t="n"/>
      <c r="D9" s="66">
        <f>'Income Statement'!D5/365*'Key Assumptions'!D74</f>
        <v/>
      </c>
      <c r="E9" s="66">
        <f>'Income Statement'!E5/365*'Key Assumptions'!E74</f>
        <v/>
      </c>
      <c r="F9" s="67">
        <f>'Income Statement'!F5/365*'Key Assumptions'!F74</f>
        <v/>
      </c>
      <c r="G9" s="66">
        <f>'Income Statement'!G5/365*'Key Assumptions'!G74</f>
        <v/>
      </c>
      <c r="H9" s="66">
        <f>'Income Statement'!H5/365*'Key Assumptions'!H74</f>
        <v/>
      </c>
      <c r="I9" s="66">
        <f>'Income Statement'!I5/365*'Key Assumptions'!I74</f>
        <v/>
      </c>
      <c r="J9" s="66">
        <f>'Income Statement'!J5/365*'Key Assumptions'!J74</f>
        <v/>
      </c>
      <c r="K9" s="66">
        <f>'Income Statement'!K5/365*'Key Assumptions'!K74</f>
        <v/>
      </c>
      <c r="L9" s="66">
        <f>'Income Statement'!L5/365*'Key Assumptions'!L74</f>
        <v/>
      </c>
      <c r="M9" s="66">
        <f>'Income Statement'!M5/365*'Key Assumptions'!M74</f>
        <v/>
      </c>
    </row>
    <row r="10">
      <c r="A10" s="169" t="inlineStr">
        <is>
          <t>Total Current Assets</t>
        </is>
      </c>
      <c r="B10" s="170" t="n"/>
      <c r="C10" s="170" t="n"/>
      <c r="D10" s="171">
        <f>D5+D6+D7+D8+D9</f>
        <v/>
      </c>
      <c r="E10" s="171">
        <f>E5+E6+E7+E8+E9</f>
        <v/>
      </c>
      <c r="F10" s="168">
        <f>F5+F6+F7+F8+F9</f>
        <v/>
      </c>
      <c r="G10" s="171">
        <f>G5+G6+G7+G8+G9</f>
        <v/>
      </c>
      <c r="H10" s="171">
        <f>H5+H6+H7+H8+H9</f>
        <v/>
      </c>
      <c r="I10" s="171">
        <f>I5+I6+I7+I8+I9</f>
        <v/>
      </c>
      <c r="J10" s="171">
        <f>J5+J6+J7+J8+J9</f>
        <v/>
      </c>
      <c r="K10" s="171">
        <f>K5+K6+K7+K8+K9</f>
        <v/>
      </c>
      <c r="L10" s="171">
        <f>L5+L6+L7+L8+L9</f>
        <v/>
      </c>
      <c r="M10" s="171">
        <f>M5+M6+M7+M8+M9</f>
        <v/>
      </c>
    </row>
    <row r="11">
      <c r="A11" s="9" t="n"/>
      <c r="B11" s="9" t="n"/>
      <c r="C11" s="9" t="n"/>
      <c r="D11" s="9" t="n"/>
      <c r="E11" s="9" t="n"/>
      <c r="F11" s="21" t="n"/>
      <c r="G11" s="9" t="n"/>
      <c r="H11" s="9" t="n"/>
      <c r="I11" s="9" t="n"/>
      <c r="J11" s="9" t="n"/>
      <c r="K11" s="9" t="n"/>
      <c r="L11" s="9" t="n"/>
      <c r="M11" s="9" t="n"/>
    </row>
    <row r="12">
      <c r="A12" s="5" t="inlineStr">
        <is>
          <t>NON-CURRENT ASSETS</t>
        </is>
      </c>
    </row>
    <row r="13" outlineLevel="1">
      <c r="A13" s="56" t="inlineStr">
        <is>
          <t xml:space="preserve">  PP&amp;E, net</t>
        </is>
      </c>
      <c r="B13" s="9" t="n"/>
      <c r="C13" s="9" t="n"/>
      <c r="D13" s="62" t="n">
        <v>0</v>
      </c>
      <c r="E13" s="62" t="n">
        <v>0</v>
      </c>
      <c r="F13" s="63" t="n">
        <v>0</v>
      </c>
      <c r="G13" s="62" t="n">
        <v>0</v>
      </c>
      <c r="H13" s="62" t="n">
        <v>0</v>
      </c>
      <c r="I13" s="62" t="n">
        <v>0</v>
      </c>
      <c r="J13" s="62" t="n">
        <v>0</v>
      </c>
      <c r="K13" s="62" t="n">
        <v>0</v>
      </c>
      <c r="L13" s="62" t="n">
        <v>0</v>
      </c>
      <c r="M13" s="62" t="n">
        <v>0</v>
      </c>
    </row>
    <row r="14" outlineLevel="1">
      <c r="A14" s="162" t="inlineStr">
        <is>
          <t xml:space="preserve">  Intangible Assets</t>
        </is>
      </c>
      <c r="D14" s="139" t="n"/>
      <c r="E14" s="139" t="n"/>
      <c r="F14" s="160" t="n"/>
      <c r="G14" s="139" t="n"/>
      <c r="H14" s="139" t="n"/>
      <c r="I14" s="139" t="n"/>
      <c r="J14" s="139" t="n"/>
      <c r="K14" s="139" t="n"/>
      <c r="L14" s="139" t="n"/>
      <c r="M14" s="139" t="n"/>
    </row>
    <row r="15" outlineLevel="1">
      <c r="A15" s="56" t="inlineStr">
        <is>
          <t xml:space="preserve">  LT Investments</t>
        </is>
      </c>
      <c r="B15" s="9" t="n"/>
      <c r="C15" s="9" t="n"/>
      <c r="D15" s="47" t="n"/>
      <c r="E15" s="47" t="n"/>
      <c r="F15" s="48" t="n"/>
      <c r="G15" s="47" t="n"/>
      <c r="H15" s="47" t="n"/>
      <c r="I15" s="47" t="n"/>
      <c r="J15" s="47" t="n"/>
      <c r="K15" s="47" t="n"/>
      <c r="L15" s="47" t="n"/>
      <c r="M15" s="47" t="n"/>
    </row>
    <row r="16" outlineLevel="1">
      <c r="A16" s="162" t="inlineStr">
        <is>
          <t xml:space="preserve">  Other Non-Current Assets</t>
        </is>
      </c>
      <c r="D16" s="139" t="n"/>
      <c r="E16" s="139" t="n"/>
      <c r="F16" s="160" t="n"/>
      <c r="G16" s="139" t="n"/>
      <c r="H16" s="139" t="n"/>
      <c r="I16" s="139" t="n"/>
      <c r="J16" s="139" t="n"/>
      <c r="K16" s="139" t="n"/>
      <c r="L16" s="139" t="n"/>
      <c r="M16" s="139" t="n"/>
    </row>
    <row r="17">
      <c r="A17" s="75" t="inlineStr">
        <is>
          <t>Total Non-Current Assets</t>
        </is>
      </c>
      <c r="B17" s="76" t="n"/>
      <c r="C17" s="76" t="n"/>
      <c r="D17" s="77">
        <f>D13+D14+D15+D16</f>
        <v/>
      </c>
      <c r="E17" s="77">
        <f>E13+E14+E15+E16</f>
        <v/>
      </c>
      <c r="F17" s="43">
        <f>F13+F14+F15+F16</f>
        <v/>
      </c>
      <c r="G17" s="77">
        <f>G13+G14+G15+G16</f>
        <v/>
      </c>
      <c r="H17" s="77">
        <f>H13+H14+H15+H16</f>
        <v/>
      </c>
      <c r="I17" s="77">
        <f>I13+I14+I15+I16</f>
        <v/>
      </c>
      <c r="J17" s="77">
        <f>J13+J14+J15+J16</f>
        <v/>
      </c>
      <c r="K17" s="77">
        <f>K13+K14+K15+K16</f>
        <v/>
      </c>
      <c r="L17" s="77">
        <f>L13+L14+L15+L16</f>
        <v/>
      </c>
      <c r="M17" s="77">
        <f>M13+M14+M15+M16</f>
        <v/>
      </c>
    </row>
    <row r="18">
      <c r="A18" s="179" t="inlineStr">
        <is>
          <t>Total Assets</t>
        </is>
      </c>
      <c r="B18" s="180" t="n"/>
      <c r="C18" s="180" t="n"/>
      <c r="D18" s="181">
        <f>D10+D17</f>
        <v/>
      </c>
      <c r="E18" s="181">
        <f>E10+E17</f>
        <v/>
      </c>
      <c r="F18" s="168">
        <f>F10+F17</f>
        <v/>
      </c>
      <c r="G18" s="181">
        <f>G10+G17</f>
        <v/>
      </c>
      <c r="H18" s="181">
        <f>H10+H17</f>
        <v/>
      </c>
      <c r="I18" s="181">
        <f>I10+I17</f>
        <v/>
      </c>
      <c r="J18" s="181">
        <f>J10+J17</f>
        <v/>
      </c>
      <c r="K18" s="181">
        <f>K10+K17</f>
        <v/>
      </c>
      <c r="L18" s="181">
        <f>L10+L17</f>
        <v/>
      </c>
      <c r="M18" s="181">
        <f>M10+M17</f>
        <v/>
      </c>
    </row>
    <row r="19">
      <c r="A19" s="9" t="n"/>
      <c r="B19" s="9" t="n"/>
      <c r="C19" s="9" t="n"/>
      <c r="D19" s="9" t="n"/>
      <c r="E19" s="9" t="n"/>
      <c r="F19" s="21" t="n"/>
      <c r="G19" s="9" t="n"/>
      <c r="H19" s="9" t="n"/>
      <c r="I19" s="9" t="n"/>
      <c r="J19" s="9" t="n"/>
      <c r="K19" s="9" t="n"/>
      <c r="L19" s="9" t="n"/>
      <c r="M19" s="9" t="n"/>
    </row>
    <row r="20">
      <c r="A20" s="5" t="inlineStr">
        <is>
          <t>CURRENT LIABILITIES</t>
        </is>
      </c>
    </row>
    <row r="21" outlineLevel="1">
      <c r="A21" s="56" t="inlineStr">
        <is>
          <t xml:space="preserve">  Accounts Payable</t>
        </is>
      </c>
      <c r="B21" s="9" t="n"/>
      <c r="C21" s="9" t="n"/>
      <c r="D21" s="66">
        <f>'Income Statement'!D11/365*'Key Assumptions'!D71</f>
        <v/>
      </c>
      <c r="E21" s="66">
        <f>'Income Statement'!E11/365*'Key Assumptions'!E71</f>
        <v/>
      </c>
      <c r="F21" s="67">
        <f>'Income Statement'!F11/365*'Key Assumptions'!F71</f>
        <v/>
      </c>
      <c r="G21" s="66">
        <f>'Income Statement'!G11/365*'Key Assumptions'!G71</f>
        <v/>
      </c>
      <c r="H21" s="66">
        <f>'Income Statement'!H11/365*'Key Assumptions'!H71</f>
        <v/>
      </c>
      <c r="I21" s="66">
        <f>'Income Statement'!I11/365*'Key Assumptions'!I71</f>
        <v/>
      </c>
      <c r="J21" s="66">
        <f>'Income Statement'!J11/365*'Key Assumptions'!J71</f>
        <v/>
      </c>
      <c r="K21" s="66">
        <f>'Income Statement'!K11/365*'Key Assumptions'!K71</f>
        <v/>
      </c>
      <c r="L21" s="66">
        <f>'Income Statement'!L11/365*'Key Assumptions'!L71</f>
        <v/>
      </c>
      <c r="M21" s="66">
        <f>'Income Statement'!M11/365*'Key Assumptions'!M71</f>
        <v/>
      </c>
    </row>
    <row r="22" outlineLevel="1">
      <c r="A22" s="162" t="inlineStr">
        <is>
          <t xml:space="preserve">  Short-Term Debt</t>
        </is>
      </c>
      <c r="D22" s="176" t="n">
        <v>0</v>
      </c>
      <c r="E22" s="176" t="n">
        <v>0</v>
      </c>
      <c r="F22" s="177" t="n">
        <v>0</v>
      </c>
      <c r="G22" s="176" t="n">
        <v>0</v>
      </c>
      <c r="H22" s="176" t="n">
        <v>0</v>
      </c>
      <c r="I22" s="176" t="n">
        <v>0</v>
      </c>
      <c r="J22" s="176" t="n">
        <v>0</v>
      </c>
      <c r="K22" s="176" t="n">
        <v>0</v>
      </c>
      <c r="L22" s="176" t="n">
        <v>0</v>
      </c>
      <c r="M22" s="176" t="n">
        <v>0</v>
      </c>
    </row>
    <row r="23" outlineLevel="1">
      <c r="A23" s="56" t="inlineStr">
        <is>
          <t xml:space="preserve">  Tax Payable</t>
        </is>
      </c>
      <c r="B23" s="9" t="n"/>
      <c r="C23" s="9" t="n"/>
      <c r="D23" s="47" t="n"/>
      <c r="E23" s="47" t="n"/>
      <c r="F23" s="48" t="n"/>
      <c r="G23" s="47" t="n"/>
      <c r="H23" s="47" t="n"/>
      <c r="I23" s="47" t="n"/>
      <c r="J23" s="47" t="n"/>
      <c r="K23" s="47" t="n"/>
      <c r="L23" s="47" t="n"/>
      <c r="M23" s="47" t="n"/>
    </row>
    <row r="24" outlineLevel="1">
      <c r="A24" s="162" t="inlineStr">
        <is>
          <t xml:space="preserve">  Accrued Expenses</t>
        </is>
      </c>
      <c r="D24" s="139" t="n"/>
      <c r="E24" s="139" t="n"/>
      <c r="F24" s="160" t="n"/>
      <c r="G24" s="139" t="n"/>
      <c r="H24" s="139" t="n"/>
      <c r="I24" s="139" t="n"/>
      <c r="J24" s="139" t="n"/>
      <c r="K24" s="139" t="n"/>
      <c r="L24" s="139" t="n"/>
      <c r="M24" s="139" t="n"/>
    </row>
    <row r="25" outlineLevel="1">
      <c r="A25" s="56" t="inlineStr">
        <is>
          <t xml:space="preserve">  Other Current Liabilities</t>
        </is>
      </c>
      <c r="B25" s="9" t="n"/>
      <c r="C25" s="9" t="n"/>
      <c r="D25" s="66">
        <f>'Income Statement'!D11/365*'Key Assumptions'!D75</f>
        <v/>
      </c>
      <c r="E25" s="66">
        <f>'Income Statement'!E11/365*'Key Assumptions'!E75</f>
        <v/>
      </c>
      <c r="F25" s="67">
        <f>'Income Statement'!F11/365*'Key Assumptions'!F75</f>
        <v/>
      </c>
      <c r="G25" s="66">
        <f>'Income Statement'!G11/365*'Key Assumptions'!G75</f>
        <v/>
      </c>
      <c r="H25" s="66">
        <f>'Income Statement'!H11/365*'Key Assumptions'!H75</f>
        <v/>
      </c>
      <c r="I25" s="66">
        <f>'Income Statement'!I11/365*'Key Assumptions'!I75</f>
        <v/>
      </c>
      <c r="J25" s="66">
        <f>'Income Statement'!J11/365*'Key Assumptions'!J75</f>
        <v/>
      </c>
      <c r="K25" s="66">
        <f>'Income Statement'!K11/365*'Key Assumptions'!K75</f>
        <v/>
      </c>
      <c r="L25" s="66">
        <f>'Income Statement'!L11/365*'Key Assumptions'!L75</f>
        <v/>
      </c>
      <c r="M25" s="66">
        <f>'Income Statement'!M11/365*'Key Assumptions'!M75</f>
        <v/>
      </c>
    </row>
    <row r="26">
      <c r="A26" s="169" t="inlineStr">
        <is>
          <t>Total Current Liabilities</t>
        </is>
      </c>
      <c r="B26" s="170" t="n"/>
      <c r="C26" s="170" t="n"/>
      <c r="D26" s="171">
        <f>D21+D22+D23+D24+D25</f>
        <v/>
      </c>
      <c r="E26" s="171">
        <f>E21+E22+E23+E24+E25</f>
        <v/>
      </c>
      <c r="F26" s="168">
        <f>F21+F22+F23+F24+F25</f>
        <v/>
      </c>
      <c r="G26" s="171">
        <f>G21+G22+G23+G24+G25</f>
        <v/>
      </c>
      <c r="H26" s="171">
        <f>H21+H22+H23+H24+H25</f>
        <v/>
      </c>
      <c r="I26" s="171">
        <f>I21+I22+I23+I24+I25</f>
        <v/>
      </c>
      <c r="J26" s="171">
        <f>J21+J22+J23+J24+J25</f>
        <v/>
      </c>
      <c r="K26" s="171">
        <f>K21+K22+K23+K24+K25</f>
        <v/>
      </c>
      <c r="L26" s="171">
        <f>L21+L22+L23+L24+L25</f>
        <v/>
      </c>
      <c r="M26" s="171">
        <f>M21+M22+M23+M24+M25</f>
        <v/>
      </c>
    </row>
    <row r="27">
      <c r="A27" s="9" t="n"/>
      <c r="B27" s="9" t="n"/>
      <c r="C27" s="9" t="n"/>
      <c r="D27" s="9" t="n"/>
      <c r="E27" s="9" t="n"/>
      <c r="F27" s="21" t="n"/>
      <c r="G27" s="9" t="n"/>
      <c r="H27" s="9" t="n"/>
      <c r="I27" s="9" t="n"/>
      <c r="J27" s="9" t="n"/>
      <c r="K27" s="9" t="n"/>
      <c r="L27" s="9" t="n"/>
      <c r="M27" s="9" t="n"/>
    </row>
    <row r="28">
      <c r="A28" s="5" t="inlineStr">
        <is>
          <t>NON-CURRENT LIABILITIES</t>
        </is>
      </c>
    </row>
    <row r="29" outlineLevel="1">
      <c r="A29" s="56" t="inlineStr">
        <is>
          <t xml:space="preserve">  Long-Term Debt</t>
        </is>
      </c>
      <c r="B29" s="9" t="n"/>
      <c r="C29" s="9" t="n"/>
      <c r="D29" s="62" t="n">
        <v>0</v>
      </c>
      <c r="E29" s="62" t="n">
        <v>0</v>
      </c>
      <c r="F29" s="63" t="n">
        <v>0</v>
      </c>
      <c r="G29" s="62" t="n">
        <v>0</v>
      </c>
      <c r="H29" s="62" t="n">
        <v>0</v>
      </c>
      <c r="I29" s="62" t="n">
        <v>0</v>
      </c>
      <c r="J29" s="62" t="n">
        <v>0</v>
      </c>
      <c r="K29" s="62" t="n">
        <v>0</v>
      </c>
      <c r="L29" s="62" t="n">
        <v>0</v>
      </c>
      <c r="M29" s="62" t="n">
        <v>0</v>
      </c>
    </row>
    <row r="30" outlineLevel="1">
      <c r="A30" s="162" t="inlineStr">
        <is>
          <t xml:space="preserve">  Other Non-Current Liabilities</t>
        </is>
      </c>
      <c r="D30" s="139" t="n"/>
      <c r="E30" s="139" t="n"/>
      <c r="F30" s="160" t="n"/>
      <c r="G30" s="139" t="n"/>
      <c r="H30" s="139" t="n"/>
      <c r="I30" s="139" t="n"/>
      <c r="J30" s="139" t="n"/>
      <c r="K30" s="139" t="n"/>
      <c r="L30" s="139" t="n"/>
      <c r="M30" s="139" t="n"/>
    </row>
    <row r="31">
      <c r="A31" s="75" t="inlineStr">
        <is>
          <t>Total Non-Current Liabilities</t>
        </is>
      </c>
      <c r="B31" s="76" t="n"/>
      <c r="C31" s="76" t="n"/>
      <c r="D31" s="77">
        <f>D29+D30</f>
        <v/>
      </c>
      <c r="E31" s="77">
        <f>E29+E30</f>
        <v/>
      </c>
      <c r="F31" s="43">
        <f>F29+F30</f>
        <v/>
      </c>
      <c r="G31" s="77">
        <f>G29+G30</f>
        <v/>
      </c>
      <c r="H31" s="77">
        <f>H29+H30</f>
        <v/>
      </c>
      <c r="I31" s="77">
        <f>I29+I30</f>
        <v/>
      </c>
      <c r="J31" s="77">
        <f>J29+J30</f>
        <v/>
      </c>
      <c r="K31" s="77">
        <f>K29+K30</f>
        <v/>
      </c>
      <c r="L31" s="77">
        <f>L29+L30</f>
        <v/>
      </c>
      <c r="M31" s="77">
        <f>M29+M30</f>
        <v/>
      </c>
    </row>
    <row r="32">
      <c r="A32" s="179" t="inlineStr">
        <is>
          <t>Total Liabilities</t>
        </is>
      </c>
      <c r="B32" s="180" t="n"/>
      <c r="C32" s="180" t="n"/>
      <c r="D32" s="181">
        <f>D26+D31</f>
        <v/>
      </c>
      <c r="E32" s="181">
        <f>E26+E31</f>
        <v/>
      </c>
      <c r="F32" s="168">
        <f>F26+F31</f>
        <v/>
      </c>
      <c r="G32" s="181">
        <f>G26+G31</f>
        <v/>
      </c>
      <c r="H32" s="181">
        <f>H26+H31</f>
        <v/>
      </c>
      <c r="I32" s="181">
        <f>I26+I31</f>
        <v/>
      </c>
      <c r="J32" s="181">
        <f>J26+J31</f>
        <v/>
      </c>
      <c r="K32" s="181">
        <f>K26+K31</f>
        <v/>
      </c>
      <c r="L32" s="181">
        <f>L26+L31</f>
        <v/>
      </c>
      <c r="M32" s="181">
        <f>M26+M31</f>
        <v/>
      </c>
    </row>
    <row r="33">
      <c r="A33" s="9" t="n"/>
      <c r="B33" s="9" t="n"/>
      <c r="C33" s="9" t="n"/>
      <c r="D33" s="9" t="n"/>
      <c r="E33" s="9" t="n"/>
      <c r="F33" s="21" t="n"/>
      <c r="G33" s="9" t="n"/>
      <c r="H33" s="9" t="n"/>
      <c r="I33" s="9" t="n"/>
      <c r="J33" s="9" t="n"/>
      <c r="K33" s="9" t="n"/>
      <c r="L33" s="9" t="n"/>
      <c r="M33" s="9" t="n"/>
    </row>
    <row r="34">
      <c r="A34" s="5" t="inlineStr">
        <is>
          <t>EQUITY</t>
        </is>
      </c>
    </row>
    <row r="35" outlineLevel="1">
      <c r="A35" s="56" t="inlineStr">
        <is>
          <t xml:space="preserve">  Share Capital</t>
        </is>
      </c>
      <c r="B35" s="9" t="n"/>
      <c r="C35" s="9" t="n"/>
      <c r="D35" s="47" t="n"/>
      <c r="E35" s="47" t="n"/>
      <c r="F35" s="48" t="n"/>
      <c r="G35" s="47" t="n"/>
      <c r="H35" s="47" t="n"/>
      <c r="I35" s="47" t="n"/>
      <c r="J35" s="47" t="n"/>
      <c r="K35" s="47" t="n"/>
      <c r="L35" s="47" t="n"/>
      <c r="M35" s="47" t="n"/>
    </row>
    <row r="36" outlineLevel="1">
      <c r="A36" s="162" t="inlineStr">
        <is>
          <t xml:space="preserve">  Retained Earnings</t>
        </is>
      </c>
      <c r="D36" s="139" t="n"/>
      <c r="E36" s="172">
        <f>D36+'Income Statement'!E28-'Income Statement'!E28*'Key Assumptions'!E87</f>
        <v/>
      </c>
      <c r="F36" s="173">
        <f>E36+'Income Statement'!F28-'Income Statement'!F28*'Key Assumptions'!F87</f>
        <v/>
      </c>
      <c r="G36" s="172">
        <f>F36+'Income Statement'!G28-'Income Statement'!G28*'Key Assumptions'!G87</f>
        <v/>
      </c>
      <c r="H36" s="172">
        <f>G36+'Income Statement'!H28-'Income Statement'!H28*'Key Assumptions'!H87</f>
        <v/>
      </c>
      <c r="I36" s="172">
        <f>H36+'Income Statement'!I28-'Income Statement'!I28*'Key Assumptions'!I87</f>
        <v/>
      </c>
      <c r="J36" s="172">
        <f>I36+'Income Statement'!J28-'Income Statement'!J28*'Key Assumptions'!J87</f>
        <v/>
      </c>
      <c r="K36" s="172">
        <f>J36+'Income Statement'!K28-'Income Statement'!K28*'Key Assumptions'!K87</f>
        <v/>
      </c>
      <c r="L36" s="172">
        <f>K36+'Income Statement'!L28-'Income Statement'!L28*'Key Assumptions'!L87</f>
        <v/>
      </c>
      <c r="M36" s="172">
        <f>L36+'Income Statement'!M28-'Income Statement'!M28*'Key Assumptions'!M87</f>
        <v/>
      </c>
    </row>
    <row r="37" outlineLevel="1">
      <c r="A37" s="56" t="inlineStr">
        <is>
          <t xml:space="preserve">  Other Reserves</t>
        </is>
      </c>
      <c r="B37" s="9" t="n"/>
      <c r="C37" s="9" t="n"/>
      <c r="D37" s="47" t="n"/>
      <c r="E37" s="47" t="n"/>
      <c r="F37" s="48" t="n"/>
      <c r="G37" s="47" t="n"/>
      <c r="H37" s="47" t="n"/>
      <c r="I37" s="47" t="n"/>
      <c r="J37" s="47" t="n"/>
      <c r="K37" s="47" t="n"/>
      <c r="L37" s="47" t="n"/>
      <c r="M37" s="47" t="n"/>
    </row>
    <row r="38">
      <c r="A38" s="169" t="inlineStr">
        <is>
          <t>Total Equity</t>
        </is>
      </c>
      <c r="B38" s="170" t="n"/>
      <c r="C38" s="170" t="n"/>
      <c r="D38" s="171">
        <f>D35+D36+D37</f>
        <v/>
      </c>
      <c r="E38" s="171">
        <f>E35+E36+E37</f>
        <v/>
      </c>
      <c r="F38" s="168">
        <f>F35+F36+F37</f>
        <v/>
      </c>
      <c r="G38" s="171">
        <f>G35+G36+G37</f>
        <v/>
      </c>
      <c r="H38" s="171">
        <f>H35+H36+H37</f>
        <v/>
      </c>
      <c r="I38" s="171">
        <f>I35+I36+I37</f>
        <v/>
      </c>
      <c r="J38" s="171">
        <f>J35+J36+J37</f>
        <v/>
      </c>
      <c r="K38" s="171">
        <f>K35+K36+K37</f>
        <v/>
      </c>
      <c r="L38" s="171">
        <f>L35+L36+L37</f>
        <v/>
      </c>
      <c r="M38" s="171">
        <f>M35+M36+M37</f>
        <v/>
      </c>
    </row>
    <row r="39">
      <c r="A39" s="78" t="inlineStr">
        <is>
          <t>Total Liabilities + Equity</t>
        </is>
      </c>
      <c r="B39" s="79" t="n"/>
      <c r="C39" s="79" t="n"/>
      <c r="D39" s="80">
        <f>D32+D38</f>
        <v/>
      </c>
      <c r="E39" s="80">
        <f>E32+E38</f>
        <v/>
      </c>
      <c r="F39" s="43">
        <f>F32+F38</f>
        <v/>
      </c>
      <c r="G39" s="80">
        <f>G32+G38</f>
        <v/>
      </c>
      <c r="H39" s="80">
        <f>H32+H38</f>
        <v/>
      </c>
      <c r="I39" s="80">
        <f>I32+I38</f>
        <v/>
      </c>
      <c r="J39" s="80">
        <f>J32+J38</f>
        <v/>
      </c>
      <c r="K39" s="80">
        <f>K32+K38</f>
        <v/>
      </c>
      <c r="L39" s="80">
        <f>L32+L38</f>
        <v/>
      </c>
      <c r="M39" s="80">
        <f>M32+M38</f>
        <v/>
      </c>
    </row>
    <row r="40">
      <c r="A40" s="182" t="inlineStr">
        <is>
          <t>BS CHECK (Assets - L&amp;E)</t>
        </is>
      </c>
      <c r="D40" s="172">
        <f>D18-D39</f>
        <v/>
      </c>
      <c r="E40" s="172">
        <f>E18-E39</f>
        <v/>
      </c>
      <c r="F40" s="173">
        <f>F18-F39</f>
        <v/>
      </c>
      <c r="G40" s="172">
        <f>G18-G39</f>
        <v/>
      </c>
      <c r="H40" s="172">
        <f>H18-H39</f>
        <v/>
      </c>
      <c r="I40" s="172">
        <f>I18-I39</f>
        <v/>
      </c>
      <c r="J40" s="172">
        <f>J18-J39</f>
        <v/>
      </c>
      <c r="K40" s="172">
        <f>K18-K39</f>
        <v/>
      </c>
      <c r="L40" s="172">
        <f>L18-L39</f>
        <v/>
      </c>
      <c r="M40" s="172">
        <f>M18-M39</f>
        <v/>
      </c>
    </row>
    <row r="41">
      <c r="A41" s="9" t="n"/>
      <c r="B41" s="9" t="n"/>
      <c r="C41" s="9" t="n"/>
      <c r="D41" s="9" t="n"/>
      <c r="E41" s="9" t="n"/>
      <c r="F41" s="21" t="n"/>
      <c r="G41" s="9" t="n"/>
      <c r="H41" s="9" t="n"/>
      <c r="I41" s="9" t="n"/>
      <c r="J41" s="9" t="n"/>
      <c r="K41" s="9" t="n"/>
      <c r="L41" s="9" t="n"/>
      <c r="M41" s="9" t="n"/>
    </row>
  </sheetData>
  <mergeCells count="8">
    <mergeCell ref="D2:F2"/>
    <mergeCell ref="A1:M1"/>
    <mergeCell ref="A34:M34"/>
    <mergeCell ref="A12:M12"/>
    <mergeCell ref="A4:M4"/>
    <mergeCell ref="G2:M2"/>
    <mergeCell ref="A20:M20"/>
    <mergeCell ref="A28:M28"/>
  </mergeCells>
  <conditionalFormatting sqref="D40:M40">
    <cfRule type="cellIs" priority="1" operator="equal" dxfId="0">
      <formula>0</formula>
    </cfRule>
    <cfRule type="cellIs" priority="2" operator="notEqual" dxfId="1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404040"/>
    <outlinePr summaryBelow="1" summaryRight="1"/>
    <pageSetUpPr/>
  </sheetPr>
  <dimension ref="A1:M35"/>
  <sheetViews>
    <sheetView showGridLines="0" workbookViewId="0">
      <pane xSplit="3" ySplit="3" topLeftCell="D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8" customWidth="1" min="1" max="1"/>
    <col width="10" customWidth="1" min="2" max="2"/>
    <col width="15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Cash Flow Statement</t>
        </is>
      </c>
    </row>
    <row r="2">
      <c r="D2" s="219" t="inlineStr">
        <is>
          <t>Historical</t>
        </is>
      </c>
      <c r="E2" s="228" t="n"/>
      <c r="F2" s="229" t="n"/>
      <c r="G2" s="222" t="inlineStr">
        <is>
          <t>Forecast</t>
        </is>
      </c>
      <c r="H2" s="228" t="n"/>
      <c r="I2" s="228" t="n"/>
      <c r="J2" s="228" t="n"/>
      <c r="K2" s="228" t="n"/>
      <c r="L2" s="228" t="n"/>
      <c r="M2" s="229" t="n"/>
    </row>
    <row r="3">
      <c r="D3" s="225" t="inlineStr">
        <is>
          <t>FY2023</t>
        </is>
      </c>
      <c r="E3" s="225" t="inlineStr">
        <is>
          <t>FY2024</t>
        </is>
      </c>
      <c r="F3" s="225" t="inlineStr">
        <is>
          <t>FY2025</t>
        </is>
      </c>
      <c r="G3" s="226" t="inlineStr">
        <is>
          <t>FY2026E</t>
        </is>
      </c>
      <c r="H3" s="226" t="inlineStr">
        <is>
          <t>FY2027E</t>
        </is>
      </c>
      <c r="I3" s="226" t="inlineStr">
        <is>
          <t>FY2028E</t>
        </is>
      </c>
      <c r="J3" s="226" t="inlineStr">
        <is>
          <t>FY2029E</t>
        </is>
      </c>
      <c r="K3" s="226" t="inlineStr">
        <is>
          <t>FY2030E</t>
        </is>
      </c>
      <c r="L3" s="226" t="inlineStr">
        <is>
          <t>FY2031E</t>
        </is>
      </c>
      <c r="M3" s="226" t="inlineStr">
        <is>
          <t>FY2032E</t>
        </is>
      </c>
    </row>
    <row r="4">
      <c r="A4" s="5" t="inlineStr">
        <is>
          <t>OPERATING ACTIVITIES</t>
        </is>
      </c>
    </row>
    <row r="5" outlineLevel="1">
      <c r="A5" s="56" t="inlineStr">
        <is>
          <t xml:space="preserve">  Net Income</t>
        </is>
      </c>
      <c r="B5" s="9" t="n"/>
      <c r="C5" s="9" t="n"/>
      <c r="D5" s="62">
        <f>'Income Statement'!D28</f>
        <v/>
      </c>
      <c r="E5" s="62">
        <f>'Income Statement'!E28</f>
        <v/>
      </c>
      <c r="F5" s="63">
        <f>'Income Statement'!F28</f>
        <v/>
      </c>
      <c r="G5" s="62">
        <f>'Income Statement'!G28</f>
        <v/>
      </c>
      <c r="H5" s="62">
        <f>'Income Statement'!H28</f>
        <v/>
      </c>
      <c r="I5" s="62">
        <f>'Income Statement'!I28</f>
        <v/>
      </c>
      <c r="J5" s="62">
        <f>'Income Statement'!J28</f>
        <v/>
      </c>
      <c r="K5" s="62">
        <f>'Income Statement'!K28</f>
        <v/>
      </c>
      <c r="L5" s="62">
        <f>'Income Statement'!L28</f>
        <v/>
      </c>
      <c r="M5" s="62">
        <f>'Income Statement'!M28</f>
        <v/>
      </c>
    </row>
    <row r="6" outlineLevel="1">
      <c r="A6" s="162" t="inlineStr">
        <is>
          <t xml:space="preserve">  Depreciation &amp; Amortization</t>
        </is>
      </c>
      <c r="D6" s="176">
        <f>'Income Statement'!D19</f>
        <v/>
      </c>
      <c r="E6" s="176">
        <f>'Income Statement'!E19</f>
        <v/>
      </c>
      <c r="F6" s="177">
        <f>'Income Statement'!F19</f>
        <v/>
      </c>
      <c r="G6" s="176">
        <f>'Income Statement'!G19</f>
        <v/>
      </c>
      <c r="H6" s="176">
        <f>'Income Statement'!H19</f>
        <v/>
      </c>
      <c r="I6" s="176">
        <f>'Income Statement'!I19</f>
        <v/>
      </c>
      <c r="J6" s="176">
        <f>'Income Statement'!J19</f>
        <v/>
      </c>
      <c r="K6" s="176">
        <f>'Income Statement'!K19</f>
        <v/>
      </c>
      <c r="L6" s="176">
        <f>'Income Statement'!L19</f>
        <v/>
      </c>
      <c r="M6" s="176">
        <f>'Income Statement'!M19</f>
        <v/>
      </c>
    </row>
    <row r="7" outlineLevel="1">
      <c r="A7" s="56" t="inlineStr">
        <is>
          <t xml:space="preserve">  Change in AR</t>
        </is>
      </c>
      <c r="B7" s="9" t="n"/>
      <c r="C7" s="9" t="n"/>
      <c r="D7" s="66" t="n"/>
      <c r="E7" s="66">
        <f>-('Balance Sheet'!E6-'Balance Sheet'!D6)</f>
        <v/>
      </c>
      <c r="F7" s="67">
        <f>-('Balance Sheet'!F6-'Balance Sheet'!E6)</f>
        <v/>
      </c>
      <c r="G7" s="66">
        <f>-('Balance Sheet'!G6-'Balance Sheet'!F6)</f>
        <v/>
      </c>
      <c r="H7" s="66">
        <f>-('Balance Sheet'!H6-'Balance Sheet'!G6)</f>
        <v/>
      </c>
      <c r="I7" s="66">
        <f>-('Balance Sheet'!I6-'Balance Sheet'!H6)</f>
        <v/>
      </c>
      <c r="J7" s="66">
        <f>-('Balance Sheet'!J6-'Balance Sheet'!I6)</f>
        <v/>
      </c>
      <c r="K7" s="66">
        <f>-('Balance Sheet'!K6-'Balance Sheet'!J6)</f>
        <v/>
      </c>
      <c r="L7" s="66">
        <f>-('Balance Sheet'!L6-'Balance Sheet'!K6)</f>
        <v/>
      </c>
      <c r="M7" s="66">
        <f>-('Balance Sheet'!M6-'Balance Sheet'!L6)</f>
        <v/>
      </c>
    </row>
    <row r="8" outlineLevel="1">
      <c r="A8" s="162" t="inlineStr">
        <is>
          <t xml:space="preserve">  Change in Inventory</t>
        </is>
      </c>
      <c r="D8" s="183" t="n"/>
      <c r="E8" s="172">
        <f>-('Balance Sheet'!E7-'Balance Sheet'!D7)</f>
        <v/>
      </c>
      <c r="F8" s="173">
        <f>-('Balance Sheet'!F7-'Balance Sheet'!E7)</f>
        <v/>
      </c>
      <c r="G8" s="172">
        <f>-('Balance Sheet'!G7-'Balance Sheet'!F7)</f>
        <v/>
      </c>
      <c r="H8" s="172">
        <f>-('Balance Sheet'!H7-'Balance Sheet'!G7)</f>
        <v/>
      </c>
      <c r="I8" s="172">
        <f>-('Balance Sheet'!I7-'Balance Sheet'!H7)</f>
        <v/>
      </c>
      <c r="J8" s="172">
        <f>-('Balance Sheet'!J7-'Balance Sheet'!I7)</f>
        <v/>
      </c>
      <c r="K8" s="172">
        <f>-('Balance Sheet'!K7-'Balance Sheet'!J7)</f>
        <v/>
      </c>
      <c r="L8" s="172">
        <f>-('Balance Sheet'!L7-'Balance Sheet'!K7)</f>
        <v/>
      </c>
      <c r="M8" s="172">
        <f>-('Balance Sheet'!M7-'Balance Sheet'!L7)</f>
        <v/>
      </c>
    </row>
    <row r="9" outlineLevel="1">
      <c r="A9" s="56" t="inlineStr">
        <is>
          <t xml:space="preserve">  Change in AP</t>
        </is>
      </c>
      <c r="B9" s="9" t="n"/>
      <c r="C9" s="9" t="n"/>
      <c r="D9" s="66" t="n"/>
      <c r="E9" s="66">
        <f>'Balance Sheet'!E21-'Balance Sheet'!D21</f>
        <v/>
      </c>
      <c r="F9" s="67">
        <f>'Balance Sheet'!F21-'Balance Sheet'!E21</f>
        <v/>
      </c>
      <c r="G9" s="66">
        <f>'Balance Sheet'!G21-'Balance Sheet'!F21</f>
        <v/>
      </c>
      <c r="H9" s="66">
        <f>'Balance Sheet'!H21-'Balance Sheet'!G21</f>
        <v/>
      </c>
      <c r="I9" s="66">
        <f>'Balance Sheet'!I21-'Balance Sheet'!H21</f>
        <v/>
      </c>
      <c r="J9" s="66">
        <f>'Balance Sheet'!J21-'Balance Sheet'!I21</f>
        <v/>
      </c>
      <c r="K9" s="66">
        <f>'Balance Sheet'!K21-'Balance Sheet'!J21</f>
        <v/>
      </c>
      <c r="L9" s="66">
        <f>'Balance Sheet'!L21-'Balance Sheet'!K21</f>
        <v/>
      </c>
      <c r="M9" s="66">
        <f>'Balance Sheet'!M21-'Balance Sheet'!L21</f>
        <v/>
      </c>
    </row>
    <row r="10" outlineLevel="1">
      <c r="A10" s="162" t="inlineStr">
        <is>
          <t xml:space="preserve">  Change in Other WC</t>
        </is>
      </c>
      <c r="D10" s="139" t="n"/>
      <c r="E10" s="139" t="n"/>
      <c r="F10" s="160" t="n"/>
      <c r="G10" s="139" t="n"/>
      <c r="H10" s="139" t="n"/>
      <c r="I10" s="139" t="n"/>
      <c r="J10" s="139" t="n"/>
      <c r="K10" s="139" t="n"/>
      <c r="L10" s="139" t="n"/>
      <c r="M10" s="139" t="n"/>
    </row>
    <row r="11" outlineLevel="1">
      <c r="A11" s="56" t="inlineStr">
        <is>
          <t xml:space="preserve">  Other Adjustments</t>
        </is>
      </c>
      <c r="B11" s="9" t="n"/>
      <c r="C11" s="9" t="n"/>
      <c r="D11" s="47" t="n"/>
      <c r="E11" s="47" t="n"/>
      <c r="F11" s="48" t="n"/>
      <c r="G11" s="47" t="n"/>
      <c r="H11" s="47" t="n"/>
      <c r="I11" s="47" t="n"/>
      <c r="J11" s="47" t="n"/>
      <c r="K11" s="47" t="n"/>
      <c r="L11" s="47" t="n"/>
      <c r="M11" s="47" t="n"/>
    </row>
    <row r="12">
      <c r="A12" s="169" t="inlineStr">
        <is>
          <t>Operating Cash Flow</t>
        </is>
      </c>
      <c r="B12" s="170" t="n"/>
      <c r="C12" s="170" t="n"/>
      <c r="D12" s="171">
        <f>D5+D6+D7+D8+D9+D10+D11</f>
        <v/>
      </c>
      <c r="E12" s="171">
        <f>E5+E6+E7+E8+E9+E10+E11</f>
        <v/>
      </c>
      <c r="F12" s="168">
        <f>F5+F6+F7+F8+F9+F10+F11</f>
        <v/>
      </c>
      <c r="G12" s="171">
        <f>G5+G6+G7+G8+G9+G10+G11</f>
        <v/>
      </c>
      <c r="H12" s="171">
        <f>H5+H6+H7+H8+H9+H10+H11</f>
        <v/>
      </c>
      <c r="I12" s="171">
        <f>I5+I6+I7+I8+I9+I10+I11</f>
        <v/>
      </c>
      <c r="J12" s="171">
        <f>J5+J6+J7+J8+J9+J10+J11</f>
        <v/>
      </c>
      <c r="K12" s="171">
        <f>K5+K6+K7+K8+K9+K10+K11</f>
        <v/>
      </c>
      <c r="L12" s="171">
        <f>L5+L6+L7+L8+L9+L10+L11</f>
        <v/>
      </c>
      <c r="M12" s="171">
        <f>M5+M6+M7+M8+M9+M10+M11</f>
        <v/>
      </c>
    </row>
    <row r="13">
      <c r="A13" s="9" t="n"/>
      <c r="B13" s="9" t="n"/>
      <c r="C13" s="9" t="n"/>
      <c r="D13" s="9" t="n"/>
      <c r="E13" s="9" t="n"/>
      <c r="F13" s="21" t="n"/>
      <c r="G13" s="9" t="n"/>
      <c r="H13" s="9" t="n"/>
      <c r="I13" s="9" t="n"/>
      <c r="J13" s="9" t="n"/>
      <c r="K13" s="9" t="n"/>
      <c r="L13" s="9" t="n"/>
      <c r="M13" s="9" t="n"/>
    </row>
    <row r="14">
      <c r="A14" s="5" t="inlineStr">
        <is>
          <t>INVESTING ACTIVITIES</t>
        </is>
      </c>
    </row>
    <row r="15" outlineLevel="1">
      <c r="A15" s="56" t="inlineStr">
        <is>
          <t xml:space="preserve">  Capital Expenditures</t>
        </is>
      </c>
      <c r="B15" s="9" t="n"/>
      <c r="C15" s="9" t="n"/>
      <c r="D15" s="62">
        <f>-ABS('Key Assumptions'!D79)</f>
        <v/>
      </c>
      <c r="E15" s="62">
        <f>-ABS('Key Assumptions'!E79)</f>
        <v/>
      </c>
      <c r="F15" s="63">
        <f>-ABS('Key Assumptions'!F79)</f>
        <v/>
      </c>
      <c r="G15" s="62">
        <f>-ABS('Key Assumptions'!G79)</f>
        <v/>
      </c>
      <c r="H15" s="62">
        <f>-ABS('Key Assumptions'!H79)</f>
        <v/>
      </c>
      <c r="I15" s="62">
        <f>-ABS('Key Assumptions'!I79)</f>
        <v/>
      </c>
      <c r="J15" s="62">
        <f>-ABS('Key Assumptions'!J79)</f>
        <v/>
      </c>
      <c r="K15" s="62">
        <f>-ABS('Key Assumptions'!K79)</f>
        <v/>
      </c>
      <c r="L15" s="62">
        <f>-ABS('Key Assumptions'!L79)</f>
        <v/>
      </c>
      <c r="M15" s="62">
        <f>-ABS('Key Assumptions'!M79)</f>
        <v/>
      </c>
    </row>
    <row r="16" outlineLevel="1">
      <c r="A16" s="162" t="inlineStr">
        <is>
          <t xml:space="preserve">  Acquisitions</t>
        </is>
      </c>
      <c r="D16" s="139" t="n"/>
      <c r="E16" s="139" t="n"/>
      <c r="F16" s="160" t="n"/>
      <c r="G16" s="139" t="n"/>
      <c r="H16" s="139" t="n"/>
      <c r="I16" s="139" t="n"/>
      <c r="J16" s="139" t="n"/>
      <c r="K16" s="139" t="n"/>
      <c r="L16" s="139" t="n"/>
      <c r="M16" s="139" t="n"/>
    </row>
    <row r="17" outlineLevel="1">
      <c r="A17" s="56" t="inlineStr">
        <is>
          <t xml:space="preserve">  Other Investing</t>
        </is>
      </c>
      <c r="B17" s="9" t="n"/>
      <c r="C17" s="9" t="n"/>
      <c r="D17" s="47" t="n"/>
      <c r="E17" s="47" t="n"/>
      <c r="F17" s="48" t="n"/>
      <c r="G17" s="47" t="n"/>
      <c r="H17" s="47" t="n"/>
      <c r="I17" s="47" t="n"/>
      <c r="J17" s="47" t="n"/>
      <c r="K17" s="47" t="n"/>
      <c r="L17" s="47" t="n"/>
      <c r="M17" s="47" t="n"/>
    </row>
    <row r="18">
      <c r="A18" s="169" t="inlineStr">
        <is>
          <t>Investing Cash Flow</t>
        </is>
      </c>
      <c r="B18" s="170" t="n"/>
      <c r="C18" s="170" t="n"/>
      <c r="D18" s="171">
        <f>D15+D16+D17</f>
        <v/>
      </c>
      <c r="E18" s="171">
        <f>E15+E16+E17</f>
        <v/>
      </c>
      <c r="F18" s="168">
        <f>F15+F16+F17</f>
        <v/>
      </c>
      <c r="G18" s="171">
        <f>G15+G16+G17</f>
        <v/>
      </c>
      <c r="H18" s="171">
        <f>H15+H16+H17</f>
        <v/>
      </c>
      <c r="I18" s="171">
        <f>I15+I16+I17</f>
        <v/>
      </c>
      <c r="J18" s="171">
        <f>J15+J16+J17</f>
        <v/>
      </c>
      <c r="K18" s="171">
        <f>K15+K16+K17</f>
        <v/>
      </c>
      <c r="L18" s="171">
        <f>L15+L16+L17</f>
        <v/>
      </c>
      <c r="M18" s="171">
        <f>M15+M16+M17</f>
        <v/>
      </c>
    </row>
    <row r="19">
      <c r="A19" s="9" t="n"/>
      <c r="B19" s="9" t="n"/>
      <c r="C19" s="9" t="n"/>
      <c r="D19" s="9" t="n"/>
      <c r="E19" s="9" t="n"/>
      <c r="F19" s="21" t="n"/>
      <c r="G19" s="9" t="n"/>
      <c r="H19" s="9" t="n"/>
      <c r="I19" s="9" t="n"/>
      <c r="J19" s="9" t="n"/>
      <c r="K19" s="9" t="n"/>
      <c r="L19" s="9" t="n"/>
      <c r="M19" s="9" t="n"/>
    </row>
    <row r="20">
      <c r="A20" s="5" t="inlineStr">
        <is>
          <t>FINANCING ACTIVITIES</t>
        </is>
      </c>
    </row>
    <row r="21" outlineLevel="1">
      <c r="A21" s="56" t="inlineStr">
        <is>
          <t xml:space="preserve">  Debt Issuance</t>
        </is>
      </c>
      <c r="B21" s="9" t="n"/>
      <c r="C21" s="9" t="n"/>
      <c r="D21" s="47" t="n"/>
      <c r="E21" s="47" t="n"/>
      <c r="F21" s="48" t="n"/>
      <c r="G21" s="47" t="n"/>
      <c r="H21" s="47" t="n"/>
      <c r="I21" s="47" t="n"/>
      <c r="J21" s="47" t="n"/>
      <c r="K21" s="47" t="n"/>
      <c r="L21" s="47" t="n"/>
      <c r="M21" s="47" t="n"/>
    </row>
    <row r="22" outlineLevel="1">
      <c r="A22" s="162" t="inlineStr">
        <is>
          <t xml:space="preserve">  Debt Repayment</t>
        </is>
      </c>
      <c r="D22" s="139" t="n"/>
      <c r="E22" s="139" t="n"/>
      <c r="F22" s="160" t="n"/>
      <c r="G22" s="139" t="n"/>
      <c r="H22" s="139" t="n"/>
      <c r="I22" s="139" t="n"/>
      <c r="J22" s="139" t="n"/>
      <c r="K22" s="139" t="n"/>
      <c r="L22" s="139" t="n"/>
      <c r="M22" s="139" t="n"/>
    </row>
    <row r="23" outlineLevel="1">
      <c r="A23" s="56" t="inlineStr">
        <is>
          <t xml:space="preserve">  Equity Issuance</t>
        </is>
      </c>
      <c r="B23" s="9" t="n"/>
      <c r="C23" s="9" t="n"/>
      <c r="D23" s="47" t="n"/>
      <c r="E23" s="47" t="n"/>
      <c r="F23" s="48" t="n"/>
      <c r="G23" s="47" t="n"/>
      <c r="H23" s="47" t="n"/>
      <c r="I23" s="47" t="n"/>
      <c r="J23" s="47" t="n"/>
      <c r="K23" s="47" t="n"/>
      <c r="L23" s="47" t="n"/>
      <c r="M23" s="47" t="n"/>
    </row>
    <row r="24" outlineLevel="1">
      <c r="A24" s="162" t="inlineStr">
        <is>
          <t xml:space="preserve">  Dividends Paid</t>
        </is>
      </c>
      <c r="D24" s="172">
        <f>-ABS('Income Statement'!D28*'Key Assumptions'!D87)</f>
        <v/>
      </c>
      <c r="E24" s="172">
        <f>-ABS('Income Statement'!E28*'Key Assumptions'!E87)</f>
        <v/>
      </c>
      <c r="F24" s="173">
        <f>-ABS('Income Statement'!F28*'Key Assumptions'!F87)</f>
        <v/>
      </c>
      <c r="G24" s="172">
        <f>-ABS('Income Statement'!G28*'Key Assumptions'!G87)</f>
        <v/>
      </c>
      <c r="H24" s="172">
        <f>-ABS('Income Statement'!H28*'Key Assumptions'!H87)</f>
        <v/>
      </c>
      <c r="I24" s="172">
        <f>-ABS('Income Statement'!I28*'Key Assumptions'!I87)</f>
        <v/>
      </c>
      <c r="J24" s="172">
        <f>-ABS('Income Statement'!J28*'Key Assumptions'!J87)</f>
        <v/>
      </c>
      <c r="K24" s="172">
        <f>-ABS('Income Statement'!K28*'Key Assumptions'!K87)</f>
        <v/>
      </c>
      <c r="L24" s="172">
        <f>-ABS('Income Statement'!L28*'Key Assumptions'!L87)</f>
        <v/>
      </c>
      <c r="M24" s="172">
        <f>-ABS('Income Statement'!M28*'Key Assumptions'!M87)</f>
        <v/>
      </c>
    </row>
    <row r="25" outlineLevel="1">
      <c r="A25" s="56" t="inlineStr">
        <is>
          <t xml:space="preserve">  Other Financing</t>
        </is>
      </c>
      <c r="B25" s="9" t="n"/>
      <c r="C25" s="9" t="n"/>
      <c r="D25" s="47" t="n"/>
      <c r="E25" s="47" t="n"/>
      <c r="F25" s="48" t="n"/>
      <c r="G25" s="47" t="n"/>
      <c r="H25" s="47" t="n"/>
      <c r="I25" s="47" t="n"/>
      <c r="J25" s="47" t="n"/>
      <c r="K25" s="47" t="n"/>
      <c r="L25" s="47" t="n"/>
      <c r="M25" s="47" t="n"/>
    </row>
    <row r="26">
      <c r="A26" s="169" t="inlineStr">
        <is>
          <t>Financing Cash Flow</t>
        </is>
      </c>
      <c r="B26" s="170" t="n"/>
      <c r="C26" s="170" t="n"/>
      <c r="D26" s="171">
        <f>D21+D22+D23+D24+D25</f>
        <v/>
      </c>
      <c r="E26" s="171">
        <f>E21+E22+E23+E24+E25</f>
        <v/>
      </c>
      <c r="F26" s="168">
        <f>F21+F22+F23+F24+F25</f>
        <v/>
      </c>
      <c r="G26" s="171">
        <f>G21+G22+G23+G24+G25</f>
        <v/>
      </c>
      <c r="H26" s="171">
        <f>H21+H22+H23+H24+H25</f>
        <v/>
      </c>
      <c r="I26" s="171">
        <f>I21+I22+I23+I24+I25</f>
        <v/>
      </c>
      <c r="J26" s="171">
        <f>J21+J22+J23+J24+J25</f>
        <v/>
      </c>
      <c r="K26" s="171">
        <f>K21+K22+K23+K24+K25</f>
        <v/>
      </c>
      <c r="L26" s="171">
        <f>L21+L22+L23+L24+L25</f>
        <v/>
      </c>
      <c r="M26" s="171">
        <f>M21+M22+M23+M24+M25</f>
        <v/>
      </c>
    </row>
    <row r="27">
      <c r="A27" s="9" t="n"/>
      <c r="B27" s="9" t="n"/>
      <c r="C27" s="9" t="n"/>
      <c r="D27" s="9" t="n"/>
      <c r="E27" s="9" t="n"/>
      <c r="F27" s="21" t="n"/>
      <c r="G27" s="9" t="n"/>
      <c r="H27" s="9" t="n"/>
      <c r="I27" s="9" t="n"/>
      <c r="J27" s="9" t="n"/>
      <c r="K27" s="9" t="n"/>
      <c r="L27" s="9" t="n"/>
      <c r="M27" s="9" t="n"/>
    </row>
    <row r="28">
      <c r="A28" s="169" t="inlineStr">
        <is>
          <t>Net Change in Cash</t>
        </is>
      </c>
      <c r="B28" s="170" t="n"/>
      <c r="C28" s="170" t="n"/>
      <c r="D28" s="171">
        <f>D12+D18+D26</f>
        <v/>
      </c>
      <c r="E28" s="171">
        <f>E12+E18+E26</f>
        <v/>
      </c>
      <c r="F28" s="168">
        <f>F12+F18+F26</f>
        <v/>
      </c>
      <c r="G28" s="171">
        <f>G12+G18+G26</f>
        <v/>
      </c>
      <c r="H28" s="171">
        <f>H12+H18+H26</f>
        <v/>
      </c>
      <c r="I28" s="171">
        <f>I12+I18+I26</f>
        <v/>
      </c>
      <c r="J28" s="171">
        <f>J12+J18+J26</f>
        <v/>
      </c>
      <c r="K28" s="171">
        <f>K12+K18+K26</f>
        <v/>
      </c>
      <c r="L28" s="171">
        <f>L12+L18+L26</f>
        <v/>
      </c>
      <c r="M28" s="171">
        <f>M12+M18+M26</f>
        <v/>
      </c>
    </row>
    <row r="29">
      <c r="A29" s="9" t="inlineStr">
        <is>
          <t>Beginning Cash</t>
        </is>
      </c>
      <c r="B29" s="9" t="n"/>
      <c r="C29" s="9" t="n"/>
      <c r="D29" s="47" t="n"/>
      <c r="E29" s="66">
        <f>D30</f>
        <v/>
      </c>
      <c r="F29" s="67">
        <f>E30</f>
        <v/>
      </c>
      <c r="G29" s="66">
        <f>F30</f>
        <v/>
      </c>
      <c r="H29" s="66">
        <f>G30</f>
        <v/>
      </c>
      <c r="I29" s="66">
        <f>H30</f>
        <v/>
      </c>
      <c r="J29" s="66">
        <f>I30</f>
        <v/>
      </c>
      <c r="K29" s="66">
        <f>J30</f>
        <v/>
      </c>
      <c r="L29" s="66">
        <f>K30</f>
        <v/>
      </c>
      <c r="M29" s="66">
        <f>L30</f>
        <v/>
      </c>
    </row>
    <row r="30">
      <c r="A30" s="179" t="inlineStr">
        <is>
          <t>Ending Cash</t>
        </is>
      </c>
      <c r="B30" s="180" t="n"/>
      <c r="C30" s="180" t="n"/>
      <c r="D30" s="181">
        <f>D29+D28</f>
        <v/>
      </c>
      <c r="E30" s="181">
        <f>E29+E28</f>
        <v/>
      </c>
      <c r="F30" s="168">
        <f>F29+F28</f>
        <v/>
      </c>
      <c r="G30" s="181">
        <f>G29+G28</f>
        <v/>
      </c>
      <c r="H30" s="181">
        <f>H29+H28</f>
        <v/>
      </c>
      <c r="I30" s="181">
        <f>I29+I28</f>
        <v/>
      </c>
      <c r="J30" s="181">
        <f>J29+J28</f>
        <v/>
      </c>
      <c r="K30" s="181">
        <f>K29+K28</f>
        <v/>
      </c>
      <c r="L30" s="181">
        <f>L29+L28</f>
        <v/>
      </c>
      <c r="M30" s="181">
        <f>M29+M28</f>
        <v/>
      </c>
    </row>
    <row r="31">
      <c r="A31" s="9" t="n"/>
      <c r="B31" s="9" t="n"/>
      <c r="C31" s="9" t="n"/>
      <c r="D31" s="9" t="n"/>
      <c r="E31" s="9" t="n"/>
      <c r="F31" s="21" t="n"/>
      <c r="G31" s="9" t="n"/>
      <c r="H31" s="9" t="n"/>
      <c r="I31" s="9" t="n"/>
      <c r="J31" s="9" t="n"/>
      <c r="K31" s="9" t="n"/>
      <c r="L31" s="9" t="n"/>
      <c r="M31" s="9" t="n"/>
    </row>
    <row r="32">
      <c r="A32" s="182" t="inlineStr">
        <is>
          <t>Cash Check (CF Ending - BS Cash)</t>
        </is>
      </c>
      <c r="D32" s="172">
        <f>D30-'Balance Sheet'!D5</f>
        <v/>
      </c>
      <c r="E32" s="172">
        <f>E30-'Balance Sheet'!E5</f>
        <v/>
      </c>
      <c r="F32" s="173">
        <f>F30-'Balance Sheet'!F5</f>
        <v/>
      </c>
      <c r="G32" s="172">
        <f>G30-'Balance Sheet'!G5</f>
        <v/>
      </c>
      <c r="H32" s="172">
        <f>H30-'Balance Sheet'!H5</f>
        <v/>
      </c>
      <c r="I32" s="172">
        <f>I30-'Balance Sheet'!I5</f>
        <v/>
      </c>
      <c r="J32" s="172">
        <f>J30-'Balance Sheet'!J5</f>
        <v/>
      </c>
      <c r="K32" s="172">
        <f>K30-'Balance Sheet'!K5</f>
        <v/>
      </c>
      <c r="L32" s="172">
        <f>L30-'Balance Sheet'!L5</f>
        <v/>
      </c>
      <c r="M32" s="172">
        <f>M30-'Balance Sheet'!M5</f>
        <v/>
      </c>
    </row>
    <row r="33">
      <c r="A33" s="9" t="n"/>
      <c r="B33" s="9" t="n"/>
      <c r="C33" s="9" t="n"/>
      <c r="D33" s="9" t="n"/>
      <c r="E33" s="9" t="n"/>
      <c r="F33" s="21" t="n"/>
      <c r="G33" s="9" t="n"/>
      <c r="H33" s="9" t="n"/>
      <c r="I33" s="9" t="n"/>
      <c r="J33" s="9" t="n"/>
      <c r="K33" s="9" t="n"/>
      <c r="L33" s="9" t="n"/>
      <c r="M33" s="9" t="n"/>
    </row>
    <row r="34">
      <c r="A34" s="2" t="inlineStr">
        <is>
          <t>Free Cash Flow</t>
        </is>
      </c>
      <c r="D34" s="142">
        <f>D12+D15</f>
        <v/>
      </c>
      <c r="E34" s="142">
        <f>E12+E15</f>
        <v/>
      </c>
      <c r="F34" s="168">
        <f>F12+F15</f>
        <v/>
      </c>
      <c r="G34" s="142">
        <f>G12+G15</f>
        <v/>
      </c>
      <c r="H34" s="142">
        <f>H12+H15</f>
        <v/>
      </c>
      <c r="I34" s="142">
        <f>I12+I15</f>
        <v/>
      </c>
      <c r="J34" s="142">
        <f>J12+J15</f>
        <v/>
      </c>
      <c r="K34" s="142">
        <f>K12+K15</f>
        <v/>
      </c>
      <c r="L34" s="142">
        <f>L12+L15</f>
        <v/>
      </c>
      <c r="M34" s="142">
        <f>M12+M15</f>
        <v/>
      </c>
    </row>
    <row r="35">
      <c r="A35" s="9" t="n"/>
      <c r="B35" s="9" t="n"/>
      <c r="C35" s="9" t="n"/>
      <c r="D35" s="9" t="n"/>
      <c r="E35" s="9" t="n"/>
      <c r="F35" s="21" t="n"/>
      <c r="G35" s="9" t="n"/>
      <c r="H35" s="9" t="n"/>
      <c r="I35" s="9" t="n"/>
      <c r="J35" s="9" t="n"/>
      <c r="K35" s="9" t="n"/>
      <c r="L35" s="9" t="n"/>
      <c r="M35" s="9" t="n"/>
    </row>
  </sheetData>
  <mergeCells count="6">
    <mergeCell ref="D2:F2"/>
    <mergeCell ref="A14:M14"/>
    <mergeCell ref="A1:M1"/>
    <mergeCell ref="A4:M4"/>
    <mergeCell ref="G2:M2"/>
    <mergeCell ref="A20:M20"/>
  </mergeCells>
  <conditionalFormatting sqref="D32:M32">
    <cfRule type="cellIs" priority="1" operator="equal" dxfId="0">
      <formula>0</formula>
    </cfRule>
    <cfRule type="cellIs" priority="2" operator="notEqual" dxfId="1">
      <formula>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08080"/>
    <outlinePr summaryBelow="1" summaryRight="1"/>
    <pageSetUpPr/>
  </sheetPr>
  <dimension ref="A1:M59"/>
  <sheetViews>
    <sheetView showGridLines="0" workbookViewId="0">
      <pane xSplit="3" ySplit="3" topLeftCell="D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8" customWidth="1" min="1" max="1"/>
    <col width="10" customWidth="1" min="2" max="2"/>
    <col width="15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 ht="24" customHeight="1">
      <c r="A1" s="1" t="inlineStr">
        <is>
          <t>Debt &amp; CapEx</t>
        </is>
      </c>
    </row>
    <row r="2">
      <c r="D2" s="219" t="inlineStr">
        <is>
          <t>Historical</t>
        </is>
      </c>
      <c r="E2" s="228" t="n"/>
      <c r="F2" s="229" t="n"/>
      <c r="G2" s="222" t="inlineStr">
        <is>
          <t>Forecast</t>
        </is>
      </c>
      <c r="H2" s="228" t="n"/>
      <c r="I2" s="228" t="n"/>
      <c r="J2" s="228" t="n"/>
      <c r="K2" s="228" t="n"/>
      <c r="L2" s="228" t="n"/>
      <c r="M2" s="229" t="n"/>
    </row>
    <row r="3">
      <c r="D3" s="225" t="inlineStr">
        <is>
          <t>FY2023</t>
        </is>
      </c>
      <c r="E3" s="225" t="inlineStr">
        <is>
          <t>FY2024</t>
        </is>
      </c>
      <c r="F3" s="225" t="inlineStr">
        <is>
          <t>FY2025</t>
        </is>
      </c>
      <c r="G3" s="226" t="inlineStr">
        <is>
          <t>FY2026E</t>
        </is>
      </c>
      <c r="H3" s="226" t="inlineStr">
        <is>
          <t>FY2027E</t>
        </is>
      </c>
      <c r="I3" s="226" t="inlineStr">
        <is>
          <t>FY2028E</t>
        </is>
      </c>
      <c r="J3" s="226" t="inlineStr">
        <is>
          <t>FY2029E</t>
        </is>
      </c>
      <c r="K3" s="226" t="inlineStr">
        <is>
          <t>FY2030E</t>
        </is>
      </c>
      <c r="L3" s="226" t="inlineStr">
        <is>
          <t>FY2031E</t>
        </is>
      </c>
      <c r="M3" s="226" t="inlineStr">
        <is>
          <t>FY2032E</t>
        </is>
      </c>
    </row>
    <row r="4" ht="20" customHeight="1">
      <c r="A4" s="29" t="inlineStr">
        <is>
          <t>DEBT SCHEDULE</t>
        </is>
      </c>
    </row>
    <row r="5">
      <c r="A5" s="85" t="inlineStr">
        <is>
          <t>Debt Outstanding by Tranche</t>
        </is>
      </c>
      <c r="B5" s="6" t="n"/>
      <c r="C5" s="6" t="n"/>
      <c r="D5" s="6" t="n"/>
      <c r="E5" s="6" t="n"/>
      <c r="F5" s="86" t="n"/>
      <c r="G5" s="6" t="n"/>
      <c r="H5" s="6" t="n"/>
      <c r="I5" s="6" t="n"/>
      <c r="J5" s="6" t="n"/>
      <c r="K5" s="6" t="n"/>
      <c r="L5" s="6" t="n"/>
      <c r="M5" s="6" t="n"/>
    </row>
    <row r="6" outlineLevel="1">
      <c r="A6" s="26" t="inlineStr">
        <is>
          <t>Tranche 1 — Senior Secured</t>
        </is>
      </c>
      <c r="B6" s="26" t="inlineStr">
        <is>
          <t>RMBm</t>
        </is>
      </c>
      <c r="C6" s="9" t="n"/>
      <c r="D6" s="87" t="n"/>
      <c r="E6" s="87" t="n"/>
      <c r="F6" s="88" t="n"/>
      <c r="G6" s="89" t="n"/>
      <c r="H6" s="89" t="n"/>
      <c r="I6" s="89" t="n"/>
      <c r="J6" s="89" t="n"/>
      <c r="K6" s="89" t="n"/>
      <c r="L6" s="89" t="n"/>
      <c r="M6" s="89" t="n"/>
    </row>
    <row r="7" outlineLevel="1">
      <c r="A7" s="2" t="inlineStr">
        <is>
          <t>Tranche 2 — Senior Unsecured</t>
        </is>
      </c>
      <c r="B7" s="2" t="inlineStr">
        <is>
          <t>RMBm</t>
        </is>
      </c>
      <c r="D7" s="4" t="n"/>
      <c r="E7" s="4" t="n"/>
      <c r="F7" s="184" t="n"/>
      <c r="G7" s="185" t="n"/>
      <c r="H7" s="185" t="n"/>
      <c r="I7" s="185" t="n"/>
      <c r="J7" s="185" t="n"/>
      <c r="K7" s="185" t="n"/>
      <c r="L7" s="185" t="n"/>
      <c r="M7" s="185" t="n"/>
    </row>
    <row r="8" outlineLevel="1">
      <c r="A8" s="26" t="inlineStr">
        <is>
          <t>Tranche 3 — Mezzanine</t>
        </is>
      </c>
      <c r="B8" s="26" t="inlineStr">
        <is>
          <t>RMBm</t>
        </is>
      </c>
      <c r="C8" s="9" t="n"/>
      <c r="D8" s="87" t="n"/>
      <c r="E8" s="87" t="n"/>
      <c r="F8" s="88" t="n"/>
      <c r="G8" s="89" t="n"/>
      <c r="H8" s="89" t="n"/>
      <c r="I8" s="89" t="n"/>
      <c r="J8" s="89" t="n"/>
      <c r="K8" s="89" t="n"/>
      <c r="L8" s="89" t="n"/>
      <c r="M8" s="89" t="n"/>
    </row>
    <row r="9" outlineLevel="1">
      <c r="A9" s="2" t="inlineStr">
        <is>
          <t>Tranche 4 — Subordinated</t>
        </is>
      </c>
      <c r="B9" s="2" t="inlineStr">
        <is>
          <t>RMBm</t>
        </is>
      </c>
      <c r="D9" s="4" t="n"/>
      <c r="E9" s="4" t="n"/>
      <c r="F9" s="184" t="n"/>
      <c r="G9" s="185" t="n"/>
      <c r="H9" s="185" t="n"/>
      <c r="I9" s="185" t="n"/>
      <c r="J9" s="185" t="n"/>
      <c r="K9" s="185" t="n"/>
      <c r="L9" s="185" t="n"/>
      <c r="M9" s="185" t="n"/>
    </row>
    <row r="10">
      <c r="A10" s="9" t="n"/>
      <c r="B10" s="9" t="n"/>
      <c r="C10" s="9" t="n"/>
      <c r="D10" s="9" t="n"/>
      <c r="E10" s="9" t="n"/>
      <c r="F10" s="93" t="n"/>
      <c r="G10" s="9" t="n"/>
      <c r="H10" s="9" t="n"/>
      <c r="I10" s="9" t="n"/>
      <c r="J10" s="9" t="n"/>
      <c r="K10" s="9" t="n"/>
      <c r="L10" s="9" t="n"/>
      <c r="M10" s="9" t="n"/>
    </row>
    <row r="11">
      <c r="A11" s="85" t="inlineStr">
        <is>
          <t>Repayment Schedule</t>
        </is>
      </c>
      <c r="B11" s="6" t="n"/>
      <c r="C11" s="6" t="n"/>
      <c r="D11" s="6" t="n"/>
      <c r="E11" s="6" t="n"/>
      <c r="F11" s="86" t="n"/>
      <c r="G11" s="6" t="n"/>
      <c r="H11" s="6" t="n"/>
      <c r="I11" s="6" t="n"/>
      <c r="J11" s="6" t="n"/>
      <c r="K11" s="6" t="n"/>
      <c r="L11" s="6" t="n"/>
      <c r="M11" s="6" t="n"/>
    </row>
    <row r="12" outlineLevel="1">
      <c r="A12" s="2" t="inlineStr">
        <is>
          <t>Tranche 1 Repayment</t>
        </is>
      </c>
      <c r="D12" s="4" t="n"/>
      <c r="E12" s="4" t="n"/>
      <c r="F12" s="184" t="n"/>
      <c r="G12" s="185" t="n"/>
      <c r="H12" s="185" t="n"/>
      <c r="I12" s="185" t="n"/>
      <c r="J12" s="185" t="n"/>
      <c r="K12" s="185" t="n"/>
      <c r="L12" s="185" t="n"/>
      <c r="M12" s="185" t="n"/>
    </row>
    <row r="13" outlineLevel="1">
      <c r="A13" s="26" t="inlineStr">
        <is>
          <t>Tranche 2 Repayment</t>
        </is>
      </c>
      <c r="B13" s="9" t="n"/>
      <c r="C13" s="9" t="n"/>
      <c r="D13" s="87" t="n"/>
      <c r="E13" s="87" t="n"/>
      <c r="F13" s="88" t="n"/>
      <c r="G13" s="89" t="n"/>
      <c r="H13" s="89" t="n"/>
      <c r="I13" s="89" t="n"/>
      <c r="J13" s="89" t="n"/>
      <c r="K13" s="89" t="n"/>
      <c r="L13" s="89" t="n"/>
      <c r="M13" s="89" t="n"/>
    </row>
    <row r="14" outlineLevel="1">
      <c r="A14" s="2" t="inlineStr">
        <is>
          <t>Tranche 3 Repayment</t>
        </is>
      </c>
      <c r="D14" s="4" t="n"/>
      <c r="E14" s="4" t="n"/>
      <c r="F14" s="184" t="n"/>
      <c r="G14" s="185" t="n"/>
      <c r="H14" s="185" t="n"/>
      <c r="I14" s="185" t="n"/>
      <c r="J14" s="185" t="n"/>
      <c r="K14" s="185" t="n"/>
      <c r="L14" s="185" t="n"/>
      <c r="M14" s="185" t="n"/>
    </row>
    <row r="15" outlineLevel="1">
      <c r="A15" s="26" t="inlineStr">
        <is>
          <t>Tranche 4 Repayment</t>
        </is>
      </c>
      <c r="B15" s="9" t="n"/>
      <c r="C15" s="9" t="n"/>
      <c r="D15" s="87" t="n"/>
      <c r="E15" s="87" t="n"/>
      <c r="F15" s="88" t="n"/>
      <c r="G15" s="89" t="n"/>
      <c r="H15" s="89" t="n"/>
      <c r="I15" s="89" t="n"/>
      <c r="J15" s="89" t="n"/>
      <c r="K15" s="89" t="n"/>
      <c r="L15" s="89" t="n"/>
      <c r="M15" s="89" t="n"/>
    </row>
    <row r="16">
      <c r="A16" s="2" t="inlineStr">
        <is>
          <t>Total Repayment</t>
        </is>
      </c>
      <c r="D16" s="2">
        <f>SUM(D12:D15)</f>
        <v/>
      </c>
      <c r="E16" s="2">
        <f>SUM(E12:E15)</f>
        <v/>
      </c>
      <c r="F16" s="186">
        <f>SUM(F12:F15)</f>
        <v/>
      </c>
      <c r="G16" s="2">
        <f>SUM(G12:G15)</f>
        <v/>
      </c>
      <c r="H16" s="2">
        <f>SUM(H12:H15)</f>
        <v/>
      </c>
      <c r="I16" s="2">
        <f>SUM(I12:I15)</f>
        <v/>
      </c>
      <c r="J16" s="2">
        <f>SUM(J12:J15)</f>
        <v/>
      </c>
      <c r="K16" s="2">
        <f>SUM(K12:K15)</f>
        <v/>
      </c>
      <c r="L16" s="2">
        <f>SUM(L12:L15)</f>
        <v/>
      </c>
      <c r="M16" s="2">
        <f>SUM(M12:M15)</f>
        <v/>
      </c>
    </row>
    <row r="17">
      <c r="A17" s="9" t="n"/>
      <c r="B17" s="9" t="n"/>
      <c r="C17" s="9" t="n"/>
      <c r="D17" s="9" t="n"/>
      <c r="E17" s="9" t="n"/>
      <c r="F17" s="93" t="n"/>
      <c r="G17" s="9" t="n"/>
      <c r="H17" s="9" t="n"/>
      <c r="I17" s="9" t="n"/>
      <c r="J17" s="9" t="n"/>
      <c r="K17" s="9" t="n"/>
      <c r="L17" s="9" t="n"/>
      <c r="M17" s="9" t="n"/>
    </row>
    <row r="18">
      <c r="A18" s="85" t="inlineStr">
        <is>
          <t>Summary</t>
        </is>
      </c>
      <c r="B18" s="6" t="n"/>
      <c r="C18" s="6" t="n"/>
      <c r="D18" s="6" t="n"/>
      <c r="E18" s="6" t="n"/>
      <c r="F18" s="86" t="n"/>
      <c r="G18" s="6" t="n"/>
      <c r="H18" s="6" t="n"/>
      <c r="I18" s="6" t="n"/>
      <c r="J18" s="6" t="n"/>
      <c r="K18" s="6" t="n"/>
      <c r="L18" s="6" t="n"/>
      <c r="M18" s="6" t="n"/>
    </row>
    <row r="19">
      <c r="A19" s="2" t="inlineStr">
        <is>
          <t>Total Debt Outstanding</t>
        </is>
      </c>
      <c r="D19" s="2">
        <f>SUM(D6:D9)</f>
        <v/>
      </c>
      <c r="E19" s="2">
        <f>SUM(E6:E9)</f>
        <v/>
      </c>
      <c r="F19" s="186">
        <f>SUM(F6:F9)</f>
        <v/>
      </c>
      <c r="G19" s="2">
        <f>SUM(G6:G9)</f>
        <v/>
      </c>
      <c r="H19" s="2">
        <f>SUM(H6:H9)</f>
        <v/>
      </c>
      <c r="I19" s="2">
        <f>SUM(I6:I9)</f>
        <v/>
      </c>
      <c r="J19" s="2">
        <f>SUM(J6:J9)</f>
        <v/>
      </c>
      <c r="K19" s="2">
        <f>SUM(K6:K9)</f>
        <v/>
      </c>
      <c r="L19" s="2">
        <f>SUM(L6:L9)</f>
        <v/>
      </c>
      <c r="M19" s="2">
        <f>SUM(M6:M9)</f>
        <v/>
      </c>
    </row>
    <row r="20" outlineLevel="1">
      <c r="A20" s="26" t="inlineStr">
        <is>
          <t>Senior Total</t>
        </is>
      </c>
      <c r="B20" s="9" t="n"/>
      <c r="C20" s="9" t="n"/>
      <c r="D20" s="89">
        <f>D6+D7</f>
        <v/>
      </c>
      <c r="E20" s="89">
        <f>E6+E7</f>
        <v/>
      </c>
      <c r="F20" s="95">
        <f>F6+F7</f>
        <v/>
      </c>
      <c r="G20" s="89">
        <f>G6+G7</f>
        <v/>
      </c>
      <c r="H20" s="89">
        <f>H6+H7</f>
        <v/>
      </c>
      <c r="I20" s="89">
        <f>I6+I7</f>
        <v/>
      </c>
      <c r="J20" s="89">
        <f>J6+J7</f>
        <v/>
      </c>
      <c r="K20" s="89">
        <f>K6+K7</f>
        <v/>
      </c>
      <c r="L20" s="89">
        <f>L6+L7</f>
        <v/>
      </c>
      <c r="M20" s="89">
        <f>M6+M7</f>
        <v/>
      </c>
    </row>
    <row r="21" outlineLevel="1">
      <c r="A21" s="2" t="inlineStr">
        <is>
          <t>Mezzanine Total</t>
        </is>
      </c>
      <c r="D21" s="187">
        <f>D8</f>
        <v/>
      </c>
      <c r="E21" s="187">
        <f>E8</f>
        <v/>
      </c>
      <c r="F21" s="188">
        <f>F8</f>
        <v/>
      </c>
      <c r="G21" s="187">
        <f>G8</f>
        <v/>
      </c>
      <c r="H21" s="187">
        <f>H8</f>
        <v/>
      </c>
      <c r="I21" s="187">
        <f>I8</f>
        <v/>
      </c>
      <c r="J21" s="187">
        <f>J8</f>
        <v/>
      </c>
      <c r="K21" s="187">
        <f>K8</f>
        <v/>
      </c>
      <c r="L21" s="187">
        <f>L8</f>
        <v/>
      </c>
      <c r="M21" s="187">
        <f>M8</f>
        <v/>
      </c>
    </row>
    <row r="22" outlineLevel="1">
      <c r="A22" s="26" t="inlineStr">
        <is>
          <t>Subordinated Total</t>
        </is>
      </c>
      <c r="B22" s="9" t="n"/>
      <c r="C22" s="9" t="n"/>
      <c r="D22" s="89">
        <f>D9</f>
        <v/>
      </c>
      <c r="E22" s="89">
        <f>E9</f>
        <v/>
      </c>
      <c r="F22" s="95">
        <f>F9</f>
        <v/>
      </c>
      <c r="G22" s="89">
        <f>G9</f>
        <v/>
      </c>
      <c r="H22" s="89">
        <f>H9</f>
        <v/>
      </c>
      <c r="I22" s="89">
        <f>I9</f>
        <v/>
      </c>
      <c r="J22" s="89">
        <f>J9</f>
        <v/>
      </c>
      <c r="K22" s="89">
        <f>K9</f>
        <v/>
      </c>
      <c r="L22" s="89">
        <f>L9</f>
        <v/>
      </c>
      <c r="M22" s="89">
        <f>M9</f>
        <v/>
      </c>
    </row>
    <row r="23" outlineLevel="1">
      <c r="A23" s="2" t="inlineStr">
        <is>
          <t>ST Portion (due &lt; 1yr)</t>
        </is>
      </c>
      <c r="D23" s="4" t="n"/>
      <c r="E23" s="4" t="n"/>
      <c r="F23" s="184" t="n"/>
      <c r="G23" s="185" t="n"/>
      <c r="H23" s="185" t="n"/>
      <c r="I23" s="185" t="n"/>
      <c r="J23" s="185" t="n"/>
      <c r="K23" s="185" t="n"/>
      <c r="L23" s="185" t="n"/>
      <c r="M23" s="185" t="n"/>
    </row>
    <row r="24" outlineLevel="1">
      <c r="A24" s="26" t="inlineStr">
        <is>
          <t>LT Portion</t>
        </is>
      </c>
      <c r="B24" s="9" t="n"/>
      <c r="C24" s="9" t="n"/>
      <c r="D24" s="89">
        <f>D19-D23</f>
        <v/>
      </c>
      <c r="E24" s="89">
        <f>E19-E23</f>
        <v/>
      </c>
      <c r="F24" s="95">
        <f>F19-F23</f>
        <v/>
      </c>
      <c r="G24" s="89">
        <f>G19-G23</f>
        <v/>
      </c>
      <c r="H24" s="89">
        <f>H19-H23</f>
        <v/>
      </c>
      <c r="I24" s="89">
        <f>I19-I23</f>
        <v/>
      </c>
      <c r="J24" s="89">
        <f>J19-J23</f>
        <v/>
      </c>
      <c r="K24" s="89">
        <f>K19-K23</f>
        <v/>
      </c>
      <c r="L24" s="89">
        <f>L19-L23</f>
        <v/>
      </c>
      <c r="M24" s="89">
        <f>M19-M23</f>
        <v/>
      </c>
    </row>
    <row r="25">
      <c r="F25" s="189" t="n"/>
    </row>
    <row r="26">
      <c r="A26" s="85" t="inlineStr">
        <is>
          <t>Interest</t>
        </is>
      </c>
      <c r="B26" s="6" t="n"/>
      <c r="C26" s="6" t="n"/>
      <c r="D26" s="6" t="n"/>
      <c r="E26" s="6" t="n"/>
      <c r="F26" s="86" t="n"/>
      <c r="G26" s="6" t="n"/>
      <c r="H26" s="6" t="n"/>
      <c r="I26" s="6" t="n"/>
      <c r="J26" s="6" t="n"/>
      <c r="K26" s="6" t="n"/>
      <c r="L26" s="6" t="n"/>
      <c r="M26" s="6" t="n"/>
    </row>
    <row r="27" outlineLevel="1">
      <c r="A27" s="26" t="inlineStr">
        <is>
          <t>Tranche 1 Rate</t>
        </is>
      </c>
      <c r="B27" s="9" t="n"/>
      <c r="C27" s="9" t="n"/>
      <c r="D27" s="51" t="n"/>
      <c r="E27" s="51" t="n"/>
      <c r="F27" s="52" t="n"/>
      <c r="G27" s="51" t="n"/>
      <c r="H27" s="51" t="n"/>
      <c r="I27" s="51" t="n"/>
      <c r="J27" s="51" t="n"/>
      <c r="K27" s="51" t="n"/>
      <c r="L27" s="51" t="n"/>
      <c r="M27" s="51" t="n"/>
    </row>
    <row r="28" outlineLevel="1">
      <c r="A28" s="2" t="inlineStr">
        <is>
          <t>Tranche 2 Rate</t>
        </is>
      </c>
      <c r="D28" s="141" t="n"/>
      <c r="E28" s="141" t="n"/>
      <c r="F28" s="161" t="n"/>
      <c r="G28" s="141" t="n"/>
      <c r="H28" s="141" t="n"/>
      <c r="I28" s="141" t="n"/>
      <c r="J28" s="141" t="n"/>
      <c r="K28" s="141" t="n"/>
      <c r="L28" s="141" t="n"/>
      <c r="M28" s="141" t="n"/>
    </row>
    <row r="29" outlineLevel="1">
      <c r="A29" s="26" t="inlineStr">
        <is>
          <t>Tranche 3 Rate</t>
        </is>
      </c>
      <c r="B29" s="9" t="n"/>
      <c r="C29" s="9" t="n"/>
      <c r="D29" s="51" t="n"/>
      <c r="E29" s="51" t="n"/>
      <c r="F29" s="52" t="n"/>
      <c r="G29" s="51" t="n"/>
      <c r="H29" s="51" t="n"/>
      <c r="I29" s="51" t="n"/>
      <c r="J29" s="51" t="n"/>
      <c r="K29" s="51" t="n"/>
      <c r="L29" s="51" t="n"/>
      <c r="M29" s="51" t="n"/>
    </row>
    <row r="30" outlineLevel="1">
      <c r="A30" s="2" t="inlineStr">
        <is>
          <t>Tranche 4 Rate</t>
        </is>
      </c>
      <c r="D30" s="141" t="n"/>
      <c r="E30" s="141" t="n"/>
      <c r="F30" s="161" t="n"/>
      <c r="G30" s="141" t="n"/>
      <c r="H30" s="141" t="n"/>
      <c r="I30" s="141" t="n"/>
      <c r="J30" s="141" t="n"/>
      <c r="K30" s="141" t="n"/>
      <c r="L30" s="141" t="n"/>
      <c r="M30" s="141" t="n"/>
    </row>
    <row r="31">
      <c r="A31" s="26" t="inlineStr">
        <is>
          <t>Weighted Avg Rate</t>
        </is>
      </c>
      <c r="B31" s="9" t="n"/>
      <c r="C31" s="9" t="n"/>
      <c r="D31" s="98">
        <f>IFERROR((D6*D27+D7*D28+D8*D29+D9*D30)/D19,0)</f>
        <v/>
      </c>
      <c r="E31" s="98">
        <f>IFERROR((E6*E27+E7*E28+E8*E29+E9*E30)/E19,0)</f>
        <v/>
      </c>
      <c r="F31" s="99">
        <f>IFERROR((F6*F27+F7*F28+F8*F29+F9*F30)/F19,0)</f>
        <v/>
      </c>
      <c r="G31" s="98">
        <f>IFERROR((G6*G27+G7*G28+G8*G29+G9*G30)/G19,0)</f>
        <v/>
      </c>
      <c r="H31" s="98">
        <f>IFERROR((H6*H27+H7*H28+H8*H29+H9*H30)/H19,0)</f>
        <v/>
      </c>
      <c r="I31" s="98">
        <f>IFERROR((I6*I27+I7*I28+I8*I29+I9*I30)/I19,0)</f>
        <v/>
      </c>
      <c r="J31" s="98">
        <f>IFERROR((J6*J27+J7*J28+J8*J29+J9*J30)/J19,0)</f>
        <v/>
      </c>
      <c r="K31" s="98">
        <f>IFERROR((K6*K27+K7*K28+K8*K29+K9*K30)/K19,0)</f>
        <v/>
      </c>
      <c r="L31" s="98">
        <f>IFERROR((L6*L27+L7*L28+L8*L29+L9*L30)/L19,0)</f>
        <v/>
      </c>
      <c r="M31" s="98">
        <f>IFERROR((M6*M27+M7*M28+M8*M29+M9*M30)/M19,0)</f>
        <v/>
      </c>
    </row>
    <row r="32">
      <c r="A32" s="2" t="inlineStr">
        <is>
          <t>Total Interest Expense</t>
        </is>
      </c>
      <c r="D32" s="2">
        <f>D6*D27+D7*D28+D8*D29+D9*D30</f>
        <v/>
      </c>
      <c r="E32" s="2">
        <f>E6*E27+E7*E28+E8*E29+E9*E30</f>
        <v/>
      </c>
      <c r="F32" s="186">
        <f>F6*F27+F7*F28+F8*F29+F9*F30</f>
        <v/>
      </c>
      <c r="G32" s="2">
        <f>G6*G27+G7*G28+G8*G29+G9*G30</f>
        <v/>
      </c>
      <c r="H32" s="2">
        <f>H6*H27+H7*H28+H8*H29+H9*H30</f>
        <v/>
      </c>
      <c r="I32" s="2">
        <f>I6*I27+I7*I28+I8*I29+I9*I30</f>
        <v/>
      </c>
      <c r="J32" s="2">
        <f>J6*J27+J7*J28+J8*J29+J9*J30</f>
        <v/>
      </c>
      <c r="K32" s="2">
        <f>K6*K27+K7*K28+K8*K29+K9*K30</f>
        <v/>
      </c>
      <c r="L32" s="2">
        <f>L6*L27+L7*L28+L8*L29+L9*L30</f>
        <v/>
      </c>
      <c r="M32" s="2">
        <f>M6*M27+M7*M28+M8*M29+M9*M30</f>
        <v/>
      </c>
    </row>
    <row r="33">
      <c r="A33" s="9" t="n"/>
      <c r="B33" s="9" t="n"/>
      <c r="C33" s="9" t="n"/>
      <c r="D33" s="9" t="n"/>
      <c r="E33" s="9" t="n"/>
      <c r="F33" s="93" t="n"/>
      <c r="G33" s="9" t="n"/>
      <c r="H33" s="9" t="n"/>
      <c r="I33" s="9" t="n"/>
      <c r="J33" s="9" t="n"/>
      <c r="K33" s="9" t="n"/>
      <c r="L33" s="9" t="n"/>
      <c r="M33" s="9" t="n"/>
    </row>
    <row r="34">
      <c r="F34" s="189" t="n"/>
    </row>
    <row r="35" ht="20" customHeight="1">
      <c r="A35" s="29" t="inlineStr">
        <is>
          <t>CAPEX &amp; DEPRECIATION</t>
        </is>
      </c>
    </row>
    <row r="36">
      <c r="A36" s="85" t="inlineStr">
        <is>
          <t>Capital Expenditure</t>
        </is>
      </c>
      <c r="B36" s="6" t="n"/>
      <c r="C36" s="6" t="n"/>
      <c r="D36" s="6" t="n"/>
      <c r="E36" s="6" t="n"/>
      <c r="F36" s="86" t="n"/>
      <c r="G36" s="6" t="n"/>
      <c r="H36" s="6" t="n"/>
      <c r="I36" s="6" t="n"/>
      <c r="J36" s="6" t="n"/>
      <c r="K36" s="6" t="n"/>
      <c r="L36" s="6" t="n"/>
      <c r="M36" s="6" t="n"/>
    </row>
    <row r="37" outlineLevel="1">
      <c r="A37" s="26" t="inlineStr">
        <is>
          <t>Equipment</t>
        </is>
      </c>
      <c r="B37" s="26" t="inlineStr">
        <is>
          <t>RMBm</t>
        </is>
      </c>
      <c r="C37" s="9" t="n"/>
      <c r="D37" s="87" t="n"/>
      <c r="E37" s="87" t="n"/>
      <c r="F37" s="88" t="n"/>
      <c r="G37" s="89" t="n"/>
      <c r="H37" s="89" t="n"/>
      <c r="I37" s="89" t="n"/>
      <c r="J37" s="89" t="n"/>
      <c r="K37" s="89" t="n"/>
      <c r="L37" s="89" t="n"/>
      <c r="M37" s="89" t="n"/>
    </row>
    <row r="38" outlineLevel="1">
      <c r="A38" s="2" t="inlineStr">
        <is>
          <t>Facilities</t>
        </is>
      </c>
      <c r="B38" s="2" t="inlineStr">
        <is>
          <t>RMBm</t>
        </is>
      </c>
      <c r="D38" s="4" t="n"/>
      <c r="E38" s="4" t="n"/>
      <c r="F38" s="184" t="n"/>
      <c r="G38" s="185" t="n"/>
      <c r="H38" s="185" t="n"/>
      <c r="I38" s="185" t="n"/>
      <c r="J38" s="185" t="n"/>
      <c r="K38" s="185" t="n"/>
      <c r="L38" s="185" t="n"/>
      <c r="M38" s="185" t="n"/>
    </row>
    <row r="39" outlineLevel="1">
      <c r="A39" s="26" t="inlineStr">
        <is>
          <t>Intangible Assets</t>
        </is>
      </c>
      <c r="B39" s="26" t="inlineStr">
        <is>
          <t>RMBm</t>
        </is>
      </c>
      <c r="C39" s="9" t="n"/>
      <c r="D39" s="87" t="n"/>
      <c r="E39" s="87" t="n"/>
      <c r="F39" s="88" t="n"/>
      <c r="G39" s="89" t="n"/>
      <c r="H39" s="89" t="n"/>
      <c r="I39" s="89" t="n"/>
      <c r="J39" s="89" t="n"/>
      <c r="K39" s="89" t="n"/>
      <c r="L39" s="89" t="n"/>
      <c r="M39" s="89" t="n"/>
    </row>
    <row r="40" outlineLevel="1">
      <c r="A40" s="2" t="inlineStr">
        <is>
          <t>Other CapEx</t>
        </is>
      </c>
      <c r="B40" s="2" t="inlineStr">
        <is>
          <t>RMBm</t>
        </is>
      </c>
      <c r="D40" s="4" t="n"/>
      <c r="E40" s="4" t="n"/>
      <c r="F40" s="184" t="n"/>
      <c r="G40" s="185" t="n"/>
      <c r="H40" s="185" t="n"/>
      <c r="I40" s="185" t="n"/>
      <c r="J40" s="185" t="n"/>
      <c r="K40" s="185" t="n"/>
      <c r="L40" s="185" t="n"/>
      <c r="M40" s="185" t="n"/>
    </row>
    <row r="41">
      <c r="A41" s="32" t="inlineStr">
        <is>
          <t>Total CapEx</t>
        </is>
      </c>
      <c r="B41" s="9" t="n"/>
      <c r="C41" s="9" t="n"/>
      <c r="D41" s="32">
        <f>SUM(D37:D40)</f>
        <v/>
      </c>
      <c r="E41" s="32">
        <f>SUM(E37:E40)</f>
        <v/>
      </c>
      <c r="F41" s="100">
        <f>SUM(F37:F40)</f>
        <v/>
      </c>
      <c r="G41" s="32">
        <f>SUM(G37:G40)</f>
        <v/>
      </c>
      <c r="H41" s="32">
        <f>SUM(H37:H40)</f>
        <v/>
      </c>
      <c r="I41" s="32">
        <f>SUM(I37:I40)</f>
        <v/>
      </c>
      <c r="J41" s="32">
        <f>SUM(J37:J40)</f>
        <v/>
      </c>
      <c r="K41" s="32">
        <f>SUM(K37:K40)</f>
        <v/>
      </c>
      <c r="L41" s="32">
        <f>SUM(L37:L40)</f>
        <v/>
      </c>
      <c r="M41" s="32">
        <f>SUM(M37:M40)</f>
        <v/>
      </c>
    </row>
    <row r="42">
      <c r="A42" s="2" t="inlineStr">
        <is>
          <t>CapEx as % of Revenue</t>
        </is>
      </c>
      <c r="D42" s="147" t="n"/>
      <c r="E42" s="147" t="n"/>
      <c r="F42" s="190" t="n"/>
      <c r="G42" s="147" t="n"/>
      <c r="H42" s="147" t="n"/>
      <c r="I42" s="147" t="n"/>
      <c r="J42" s="147" t="n"/>
      <c r="K42" s="147" t="n"/>
      <c r="L42" s="147" t="n"/>
      <c r="M42" s="147" t="n"/>
    </row>
    <row r="43">
      <c r="A43" s="9" t="n"/>
      <c r="B43" s="9" t="n"/>
      <c r="C43" s="9" t="n"/>
      <c r="D43" s="9" t="n"/>
      <c r="E43" s="9" t="n"/>
      <c r="F43" s="93" t="n"/>
      <c r="G43" s="9" t="n"/>
      <c r="H43" s="9" t="n"/>
      <c r="I43" s="9" t="n"/>
      <c r="J43" s="9" t="n"/>
      <c r="K43" s="9" t="n"/>
      <c r="L43" s="9" t="n"/>
      <c r="M43" s="9" t="n"/>
    </row>
    <row r="44">
      <c r="A44" s="85" t="inlineStr">
        <is>
          <t>Depreciation by Asset Group</t>
        </is>
      </c>
      <c r="B44" s="6" t="n"/>
      <c r="C44" s="6" t="n"/>
      <c r="D44" s="6" t="n"/>
      <c r="E44" s="6" t="n"/>
      <c r="F44" s="86" t="n"/>
      <c r="G44" s="6" t="n"/>
      <c r="H44" s="6" t="n"/>
      <c r="I44" s="6" t="n"/>
      <c r="J44" s="6" t="n"/>
      <c r="K44" s="6" t="n"/>
      <c r="L44" s="6" t="n"/>
      <c r="M44" s="6" t="n"/>
    </row>
    <row r="45" outlineLevel="1">
      <c r="A45" s="2" t="inlineStr">
        <is>
          <t>Asset Group 1 — Equipment</t>
        </is>
      </c>
      <c r="B45" s="2" t="inlineStr">
        <is>
          <t>RMBm</t>
        </is>
      </c>
      <c r="D45" s="4" t="n"/>
      <c r="E45" s="4" t="n"/>
      <c r="F45" s="184" t="n"/>
      <c r="G45" s="185" t="n"/>
      <c r="H45" s="185" t="n"/>
      <c r="I45" s="185" t="n"/>
      <c r="J45" s="185" t="n"/>
      <c r="K45" s="185" t="n"/>
      <c r="L45" s="185" t="n"/>
      <c r="M45" s="185" t="n"/>
    </row>
    <row r="46" outlineLevel="1">
      <c r="A46" s="26" t="inlineStr">
        <is>
          <t>Asset Group 2 — Facilities</t>
        </is>
      </c>
      <c r="B46" s="26" t="inlineStr">
        <is>
          <t>RMBm</t>
        </is>
      </c>
      <c r="C46" s="9" t="n"/>
      <c r="D46" s="87" t="n"/>
      <c r="E46" s="87" t="n"/>
      <c r="F46" s="88" t="n"/>
      <c r="G46" s="89" t="n"/>
      <c r="H46" s="89" t="n"/>
      <c r="I46" s="89" t="n"/>
      <c r="J46" s="89" t="n"/>
      <c r="K46" s="89" t="n"/>
      <c r="L46" s="89" t="n"/>
      <c r="M46" s="89" t="n"/>
    </row>
    <row r="47" outlineLevel="1">
      <c r="A47" s="2" t="inlineStr">
        <is>
          <t>Asset Group 3 — Intangible</t>
        </is>
      </c>
      <c r="B47" s="2" t="inlineStr">
        <is>
          <t>RMBm</t>
        </is>
      </c>
      <c r="D47" s="4" t="n"/>
      <c r="E47" s="4" t="n"/>
      <c r="F47" s="184" t="n"/>
      <c r="G47" s="185" t="n"/>
      <c r="H47" s="185" t="n"/>
      <c r="I47" s="185" t="n"/>
      <c r="J47" s="185" t="n"/>
      <c r="K47" s="185" t="n"/>
      <c r="L47" s="185" t="n"/>
      <c r="M47" s="185" t="n"/>
    </row>
    <row r="48">
      <c r="A48" s="32" t="inlineStr">
        <is>
          <t>Total D&amp;A</t>
        </is>
      </c>
      <c r="B48" s="9" t="n"/>
      <c r="C48" s="9" t="n"/>
      <c r="D48" s="32">
        <f>SUM(D45:D47)</f>
        <v/>
      </c>
      <c r="E48" s="32">
        <f>SUM(E45:E47)</f>
        <v/>
      </c>
      <c r="F48" s="100">
        <f>SUM(F45:F47)</f>
        <v/>
      </c>
      <c r="G48" s="32">
        <f>SUM(G45:G47)</f>
        <v/>
      </c>
      <c r="H48" s="32">
        <f>SUM(H45:H47)</f>
        <v/>
      </c>
      <c r="I48" s="32">
        <f>SUM(I45:I47)</f>
        <v/>
      </c>
      <c r="J48" s="32">
        <f>SUM(J45:J47)</f>
        <v/>
      </c>
      <c r="K48" s="32">
        <f>SUM(K45:K47)</f>
        <v/>
      </c>
      <c r="L48" s="32">
        <f>SUM(L45:L47)</f>
        <v/>
      </c>
      <c r="M48" s="32">
        <f>SUM(M45:M47)</f>
        <v/>
      </c>
    </row>
    <row r="49">
      <c r="A49" s="2" t="inlineStr">
        <is>
          <t>D&amp;A Allocated to Production (%)</t>
        </is>
      </c>
      <c r="D49" s="191" t="n">
        <v>0.7</v>
      </c>
      <c r="E49" s="191" t="n">
        <v>0.7</v>
      </c>
      <c r="F49" s="192" t="n">
        <v>0.7</v>
      </c>
      <c r="G49" s="191" t="n">
        <v>0.7</v>
      </c>
      <c r="H49" s="191" t="n">
        <v>0.7</v>
      </c>
      <c r="I49" s="191" t="n">
        <v>0.7</v>
      </c>
      <c r="J49" s="191" t="n">
        <v>0.7</v>
      </c>
      <c r="K49" s="191" t="n">
        <v>0.7</v>
      </c>
      <c r="L49" s="191" t="n">
        <v>0.7</v>
      </c>
      <c r="M49" s="191" t="n">
        <v>0.7</v>
      </c>
    </row>
    <row r="50">
      <c r="A50" s="26" t="inlineStr">
        <is>
          <t>Production D&amp;A</t>
        </is>
      </c>
      <c r="B50" s="9" t="n"/>
      <c r="C50" s="9" t="n"/>
      <c r="D50" s="102">
        <f>D48*D49</f>
        <v/>
      </c>
      <c r="E50" s="102">
        <f>E48*E49</f>
        <v/>
      </c>
      <c r="F50" s="103">
        <f>F48*F49</f>
        <v/>
      </c>
      <c r="G50" s="102">
        <f>G48*G49</f>
        <v/>
      </c>
      <c r="H50" s="102">
        <f>H48*H49</f>
        <v/>
      </c>
      <c r="I50" s="102">
        <f>I48*I49</f>
        <v/>
      </c>
      <c r="J50" s="102">
        <f>J48*J49</f>
        <v/>
      </c>
      <c r="K50" s="102">
        <f>K48*K49</f>
        <v/>
      </c>
      <c r="L50" s="102">
        <f>L48*L49</f>
        <v/>
      </c>
      <c r="M50" s="102">
        <f>M48*M49</f>
        <v/>
      </c>
    </row>
    <row r="51">
      <c r="A51" s="2" t="inlineStr">
        <is>
          <t>Non-Production D&amp;A</t>
        </is>
      </c>
      <c r="D51" s="187">
        <f>D48-D50</f>
        <v/>
      </c>
      <c r="E51" s="187">
        <f>E48-E50</f>
        <v/>
      </c>
      <c r="F51" s="188">
        <f>F48-F50</f>
        <v/>
      </c>
      <c r="G51" s="187">
        <f>G48-G50</f>
        <v/>
      </c>
      <c r="H51" s="187">
        <f>H48-H50</f>
        <v/>
      </c>
      <c r="I51" s="187">
        <f>I48-I50</f>
        <v/>
      </c>
      <c r="J51" s="187">
        <f>J48-J50</f>
        <v/>
      </c>
      <c r="K51" s="187">
        <f>K48-K50</f>
        <v/>
      </c>
      <c r="L51" s="187">
        <f>L48-L50</f>
        <v/>
      </c>
      <c r="M51" s="187">
        <f>M48-M50</f>
        <v/>
      </c>
    </row>
    <row r="52">
      <c r="A52" s="9" t="n"/>
      <c r="B52" s="9" t="n"/>
      <c r="C52" s="9" t="n"/>
      <c r="D52" s="9" t="n"/>
      <c r="E52" s="9" t="n"/>
      <c r="F52" s="93" t="n"/>
      <c r="G52" s="9" t="n"/>
      <c r="H52" s="9" t="n"/>
      <c r="I52" s="9" t="n"/>
      <c r="J52" s="9" t="n"/>
      <c r="K52" s="9" t="n"/>
      <c r="L52" s="9" t="n"/>
      <c r="M52" s="9" t="n"/>
    </row>
    <row r="53">
      <c r="A53" s="85" t="inlineStr">
        <is>
          <t>Net PP&amp;E Roll-forward</t>
        </is>
      </c>
      <c r="B53" s="6" t="n"/>
      <c r="C53" s="6" t="n"/>
      <c r="D53" s="6" t="n"/>
      <c r="E53" s="6" t="n"/>
      <c r="F53" s="86" t="n"/>
      <c r="G53" s="6" t="n"/>
      <c r="H53" s="6" t="n"/>
      <c r="I53" s="6" t="n"/>
      <c r="J53" s="6" t="n"/>
      <c r="K53" s="6" t="n"/>
      <c r="L53" s="6" t="n"/>
      <c r="M53" s="6" t="n"/>
    </row>
    <row r="54" outlineLevel="1">
      <c r="A54" s="2" t="inlineStr">
        <is>
          <t>Beginning Gross PP&amp;E</t>
        </is>
      </c>
      <c r="B54" s="2" t="inlineStr">
        <is>
          <t>RMBm</t>
        </is>
      </c>
      <c r="D54" s="4" t="n"/>
      <c r="E54" s="193">
        <f>D57</f>
        <v/>
      </c>
      <c r="F54" s="194">
        <f>E57</f>
        <v/>
      </c>
      <c r="G54" s="187">
        <f>F57</f>
        <v/>
      </c>
      <c r="H54" s="187">
        <f>G57</f>
        <v/>
      </c>
      <c r="I54" s="187">
        <f>H57</f>
        <v/>
      </c>
      <c r="J54" s="187">
        <f>I57</f>
        <v/>
      </c>
      <c r="K54" s="187">
        <f>J57</f>
        <v/>
      </c>
      <c r="L54" s="187">
        <f>K57</f>
        <v/>
      </c>
      <c r="M54" s="187">
        <f>L57</f>
        <v/>
      </c>
    </row>
    <row r="55" outlineLevel="1">
      <c r="A55" s="26" t="inlineStr">
        <is>
          <t>CapEx Additions</t>
        </is>
      </c>
      <c r="B55" s="9" t="n"/>
      <c r="C55" s="9" t="n"/>
      <c r="D55" s="89">
        <f>D41</f>
        <v/>
      </c>
      <c r="E55" s="89">
        <f>E41</f>
        <v/>
      </c>
      <c r="F55" s="95">
        <f>F41</f>
        <v/>
      </c>
      <c r="G55" s="89">
        <f>G41</f>
        <v/>
      </c>
      <c r="H55" s="89">
        <f>H41</f>
        <v/>
      </c>
      <c r="I55" s="89">
        <f>I41</f>
        <v/>
      </c>
      <c r="J55" s="89">
        <f>J41</f>
        <v/>
      </c>
      <c r="K55" s="89">
        <f>K41</f>
        <v/>
      </c>
      <c r="L55" s="89">
        <f>L41</f>
        <v/>
      </c>
      <c r="M55" s="89">
        <f>M41</f>
        <v/>
      </c>
    </row>
    <row r="56" outlineLevel="1">
      <c r="A56" s="2" t="inlineStr">
        <is>
          <t>Disposals</t>
        </is>
      </c>
      <c r="D56" s="4" t="n"/>
      <c r="E56" s="4" t="n"/>
      <c r="F56" s="184" t="n"/>
      <c r="G56" s="4" t="n"/>
      <c r="H56" s="4" t="n"/>
      <c r="I56" s="4" t="n"/>
      <c r="J56" s="4" t="n"/>
      <c r="K56" s="4" t="n"/>
      <c r="L56" s="4" t="n"/>
      <c r="M56" s="4" t="n"/>
    </row>
    <row r="57" outlineLevel="1">
      <c r="A57" s="26" t="inlineStr">
        <is>
          <t>Ending Gross PP&amp;E</t>
        </is>
      </c>
      <c r="B57" s="9" t="n"/>
      <c r="C57" s="9" t="n"/>
      <c r="D57" s="89">
        <f>D54+D55-D56</f>
        <v/>
      </c>
      <c r="E57" s="89">
        <f>E54+E55-E56</f>
        <v/>
      </c>
      <c r="F57" s="95">
        <f>F54+F55-F56</f>
        <v/>
      </c>
      <c r="G57" s="89">
        <f>G54+G55-G56</f>
        <v/>
      </c>
      <c r="H57" s="89">
        <f>H54+H55-H56</f>
        <v/>
      </c>
      <c r="I57" s="89">
        <f>I54+I55-I56</f>
        <v/>
      </c>
      <c r="J57" s="89">
        <f>J54+J55-J56</f>
        <v/>
      </c>
      <c r="K57" s="89">
        <f>K54+K55-K56</f>
        <v/>
      </c>
      <c r="L57" s="89">
        <f>L54+L55-L56</f>
        <v/>
      </c>
      <c r="M57" s="89">
        <f>M54+M55-M56</f>
        <v/>
      </c>
    </row>
    <row r="58" outlineLevel="1">
      <c r="A58" s="2" t="inlineStr">
        <is>
          <t>Accumulated Depreciation</t>
        </is>
      </c>
      <c r="D58" s="185" t="n"/>
      <c r="E58" s="185" t="n"/>
      <c r="F58" s="195" t="n"/>
      <c r="G58" s="185" t="n"/>
      <c r="H58" s="185" t="n"/>
      <c r="I58" s="185" t="n"/>
      <c r="J58" s="185" t="n"/>
      <c r="K58" s="185" t="n"/>
      <c r="L58" s="185" t="n"/>
      <c r="M58" s="185" t="n"/>
    </row>
    <row r="59" outlineLevel="1">
      <c r="A59" s="32" t="inlineStr">
        <is>
          <t>Net PP&amp;E</t>
        </is>
      </c>
      <c r="B59" s="9" t="n"/>
      <c r="C59" s="9" t="n"/>
      <c r="D59" s="104">
        <f>D57-D58</f>
        <v/>
      </c>
      <c r="E59" s="104">
        <f>E57-E58</f>
        <v/>
      </c>
      <c r="F59" s="105">
        <f>F57-F58</f>
        <v/>
      </c>
      <c r="G59" s="104">
        <f>G57-G58</f>
        <v/>
      </c>
      <c r="H59" s="104">
        <f>H57-H58</f>
        <v/>
      </c>
      <c r="I59" s="104">
        <f>I57-I58</f>
        <v/>
      </c>
      <c r="J59" s="104">
        <f>J57-J58</f>
        <v/>
      </c>
      <c r="K59" s="104">
        <f>K57-K58</f>
        <v/>
      </c>
      <c r="L59" s="104">
        <f>L57-L58</f>
        <v/>
      </c>
      <c r="M59" s="104">
        <f>M57-M58</f>
        <v/>
      </c>
    </row>
  </sheetData>
  <mergeCells count="5">
    <mergeCell ref="D2:F2"/>
    <mergeCell ref="A1:M1"/>
    <mergeCell ref="A35:M35"/>
    <mergeCell ref="A4:M4"/>
    <mergeCell ref="G2:M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00000"/>
    <outlinePr summaryBelow="1" summaryRight="1"/>
    <pageSetUpPr/>
  </sheetPr>
  <dimension ref="A1:L5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3" customWidth="1" min="5" max="5"/>
    <col width="14" customWidth="1" min="6" max="6"/>
    <col width="14" customWidth="1" min="7" max="7"/>
    <col width="14" customWidth="1" min="8" max="8"/>
    <col width="3" customWidth="1" min="9" max="9"/>
    <col width="14" customWidth="1" min="10" max="10"/>
    <col width="14" customWidth="1" min="11" max="11"/>
    <col width="14" customWidth="1" min="12" max="12"/>
  </cols>
  <sheetData>
    <row r="1">
      <c r="A1" s="237" t="inlineStr">
        <is>
          <t>Return Analysis</t>
        </is>
      </c>
    </row>
    <row r="3">
      <c r="B3" s="241" t="inlineStr">
        <is>
          <t>ENTRY</t>
        </is>
      </c>
      <c r="C3" s="228" t="n"/>
      <c r="D3" s="229" t="n"/>
      <c r="F3" s="261" t="inlineStr">
        <is>
          <t>FOLLOW-ON</t>
        </is>
      </c>
      <c r="G3" s="228" t="n"/>
      <c r="H3" s="229" t="n"/>
      <c r="J3" s="241" t="inlineStr">
        <is>
          <t>EXIT</t>
        </is>
      </c>
      <c r="K3" s="228" t="n"/>
      <c r="L3" s="229" t="n"/>
    </row>
    <row r="4">
      <c r="A4" s="4" t="inlineStr">
        <is>
          <t>Pre-money Valuation</t>
        </is>
      </c>
      <c r="B4" s="139" t="n"/>
      <c r="F4" s="4" t="inlineStr">
        <is>
          <t>Round B Pre-money</t>
        </is>
      </c>
      <c r="G4" s="139" t="n"/>
      <c r="J4" s="4" t="inlineStr">
        <is>
          <t>Exit Year</t>
        </is>
      </c>
      <c r="K4" s="4" t="n"/>
    </row>
    <row r="5">
      <c r="A5" s="4" t="inlineStr">
        <is>
          <t>Total Round Size</t>
        </is>
      </c>
      <c r="B5" s="139" t="n"/>
      <c r="F5" s="4" t="inlineStr">
        <is>
          <t>Round B New Capital</t>
        </is>
      </c>
      <c r="G5" s="139" t="n"/>
      <c r="J5" s="150" t="inlineStr">
        <is>
          <t>Exit Revenue</t>
        </is>
      </c>
      <c r="K5" s="146" t="n"/>
    </row>
    <row r="6">
      <c r="A6" s="150" t="inlineStr">
        <is>
          <t>Post-money Valuation</t>
        </is>
      </c>
      <c r="B6" s="146" t="n"/>
      <c r="F6" s="150" t="inlineStr">
        <is>
          <t>Round B Post-money</t>
        </is>
      </c>
      <c r="G6" s="146" t="n"/>
      <c r="J6" s="150" t="inlineStr">
        <is>
          <t>Exit EBITDA</t>
        </is>
      </c>
      <c r="K6" s="146" t="n"/>
    </row>
    <row r="7">
      <c r="A7" s="145" t="inlineStr"/>
      <c r="B7" s="145" t="n"/>
      <c r="F7" s="150" t="inlineStr">
        <is>
          <t>Round B Dilution %</t>
        </is>
      </c>
      <c r="G7" s="147" t="n"/>
      <c r="J7" s="150" t="inlineStr">
        <is>
          <t>Exit Net Income</t>
        </is>
      </c>
      <c r="K7" s="146" t="n"/>
    </row>
    <row r="8">
      <c r="A8" s="4" t="inlineStr">
        <is>
          <t>Cathay Investment</t>
        </is>
      </c>
      <c r="B8" s="139" t="n"/>
      <c r="F8" s="4" t="inlineStr">
        <is>
          <t>Cathay Follow-on?</t>
        </is>
      </c>
      <c r="G8" s="4" t="n"/>
      <c r="J8" s="145" t="inlineStr"/>
      <c r="K8" s="145" t="n"/>
    </row>
    <row r="9">
      <c r="A9" s="150" t="inlineStr">
        <is>
          <t>Cathay Ownership %</t>
        </is>
      </c>
      <c r="B9" s="147" t="n"/>
      <c r="F9" s="4" t="inlineStr">
        <is>
          <t>Cathay Additional Invest</t>
        </is>
      </c>
      <c r="G9" s="139" t="n"/>
      <c r="J9" s="4" t="inlineStr">
        <is>
          <t>Exit Method</t>
        </is>
      </c>
      <c r="K9" s="4" t="inlineStr">
        <is>
          <t>P/E</t>
        </is>
      </c>
    </row>
    <row r="10">
      <c r="A10" s="145" t="inlineStr"/>
      <c r="B10" s="145" t="n"/>
      <c r="F10" s="145" t="inlineStr"/>
      <c r="G10" s="145" t="n"/>
      <c r="J10" s="4" t="inlineStr">
        <is>
          <t>Exit Multiple</t>
        </is>
      </c>
      <c r="K10" s="140" t="n"/>
    </row>
    <row r="11" outlineLevel="1">
      <c r="A11" s="85" t="inlineStr">
        <is>
          <t>Cap Table</t>
        </is>
      </c>
      <c r="B11" s="85" t="n"/>
      <c r="C11" s="6" t="n"/>
      <c r="D11" s="6" t="n"/>
      <c r="F11" s="85" t="inlineStr">
        <is>
          <t>Pre-IPO Round</t>
        </is>
      </c>
      <c r="G11" s="85" t="n"/>
      <c r="H11" s="6" t="n"/>
      <c r="J11" s="145" t="inlineStr"/>
      <c r="K11" s="145" t="n"/>
    </row>
    <row r="12" outlineLevel="1">
      <c r="A12" s="4" t="inlineStr">
        <is>
          <t xml:space="preserve">  Founder %</t>
        </is>
      </c>
      <c r="B12" s="141" t="n"/>
      <c r="F12" s="4" t="inlineStr">
        <is>
          <t xml:space="preserve">  Pre-money</t>
        </is>
      </c>
      <c r="G12" s="139" t="n"/>
      <c r="J12" s="150" t="inlineStr">
        <is>
          <t>Exit EV</t>
        </is>
      </c>
      <c r="K12" s="146" t="n"/>
    </row>
    <row r="13" outlineLevel="1">
      <c r="A13" s="4" t="inlineStr">
        <is>
          <t xml:space="preserve">  Other Investors %</t>
        </is>
      </c>
      <c r="B13" s="141" t="n"/>
      <c r="F13" s="4" t="inlineStr">
        <is>
          <t xml:space="preserve">  New Capital</t>
        </is>
      </c>
      <c r="G13" s="139" t="n"/>
      <c r="J13" s="150" t="inlineStr">
        <is>
          <t>Less: Net Debt</t>
        </is>
      </c>
      <c r="K13" s="146" t="n"/>
    </row>
    <row r="14" outlineLevel="1">
      <c r="A14" s="4" t="inlineStr">
        <is>
          <t xml:space="preserve">  ESOP %</t>
        </is>
      </c>
      <c r="B14" s="141" t="n"/>
      <c r="F14" s="150" t="inlineStr">
        <is>
          <t xml:space="preserve">  Dilution %</t>
        </is>
      </c>
      <c r="G14" s="147" t="n"/>
      <c r="J14" s="211" t="inlineStr">
        <is>
          <t>Exit Equity Value</t>
        </is>
      </c>
      <c r="K14" s="262" t="n"/>
    </row>
    <row r="15" outlineLevel="1">
      <c r="A15" s="150" t="inlineStr">
        <is>
          <t xml:space="preserve">  Round Investors %</t>
        </is>
      </c>
      <c r="B15" s="147" t="n"/>
      <c r="F15" s="4" t="inlineStr">
        <is>
          <t>IPO Dilution %</t>
        </is>
      </c>
      <c r="G15" s="141" t="n"/>
      <c r="J15" s="145" t="inlineStr"/>
      <c r="K15" s="145" t="n"/>
    </row>
    <row r="16" outlineLevel="1">
      <c r="A16" s="150" t="inlineStr">
        <is>
          <t xml:space="preserve">  Cathay %</t>
        </is>
      </c>
      <c r="B16" s="147" t="n"/>
      <c r="F16" s="145" t="inlineStr"/>
      <c r="G16" s="145" t="n"/>
      <c r="J16" s="211" t="inlineStr">
        <is>
          <t>Cathay Proceeds</t>
        </is>
      </c>
      <c r="K16" s="262" t="n"/>
    </row>
    <row r="17" outlineLevel="1">
      <c r="A17" s="2" t="inlineStr">
        <is>
          <t xml:space="preserve">  Total Check</t>
        </is>
      </c>
      <c r="B17" s="144" t="n"/>
      <c r="F17" s="211" t="inlineStr">
        <is>
          <t>Final Ownership %</t>
        </is>
      </c>
      <c r="G17" s="263" t="n"/>
      <c r="J17" s="145" t="inlineStr"/>
      <c r="K17" s="145" t="n"/>
    </row>
    <row r="20">
      <c r="A20" s="241" t="inlineStr">
        <is>
          <t>CASH FLOW &amp; RETURNS</t>
        </is>
      </c>
      <c r="B20" s="242" t="n"/>
      <c r="C20" s="242" t="n"/>
      <c r="D20" s="242" t="n"/>
      <c r="E20" s="242" t="n"/>
      <c r="F20" s="242" t="n"/>
      <c r="G20" s="242" t="n"/>
      <c r="H20" s="242" t="n"/>
      <c r="I20" s="242" t="n"/>
      <c r="J20" s="242" t="n"/>
      <c r="K20" s="242" t="n"/>
      <c r="L20" s="242" t="n"/>
    </row>
    <row r="21">
      <c r="B21" s="225" t="inlineStr">
        <is>
          <t>Entry</t>
        </is>
      </c>
      <c r="C21" s="226" t="inlineStr">
        <is>
          <t>Yr 1</t>
        </is>
      </c>
      <c r="D21" s="226" t="inlineStr">
        <is>
          <t>Yr 2</t>
        </is>
      </c>
      <c r="E21" s="226" t="inlineStr">
        <is>
          <t>Yr 3</t>
        </is>
      </c>
      <c r="F21" s="226" t="inlineStr">
        <is>
          <t>Yr 4</t>
        </is>
      </c>
      <c r="G21" s="226" t="inlineStr">
        <is>
          <t>Yr 5</t>
        </is>
      </c>
      <c r="H21" s="226" t="inlineStr">
        <is>
          <t>Yr 6</t>
        </is>
      </c>
      <c r="I21" s="226" t="inlineStr">
        <is>
          <t>Yr 7</t>
        </is>
      </c>
    </row>
    <row r="22">
      <c r="A22" s="4" t="inlineStr">
        <is>
          <t>Date</t>
        </is>
      </c>
      <c r="B22" s="139" t="n"/>
      <c r="C22" s="139" t="n"/>
      <c r="D22" s="139" t="n"/>
      <c r="E22" s="139" t="n"/>
      <c r="F22" s="139" t="n"/>
      <c r="G22" s="139" t="n"/>
      <c r="H22" s="139" t="n"/>
      <c r="I22" s="139" t="n"/>
    </row>
    <row r="23">
      <c r="A23" s="4" t="inlineStr">
        <is>
          <t>Investment</t>
        </is>
      </c>
      <c r="B23" s="139" t="n"/>
      <c r="C23" s="139" t="n"/>
      <c r="D23" s="139" t="n"/>
      <c r="E23" s="139" t="n"/>
      <c r="F23" s="139" t="n"/>
      <c r="G23" s="139" t="n"/>
      <c r="H23" s="139" t="n"/>
      <c r="I23" s="139" t="n"/>
    </row>
    <row r="24">
      <c r="A24" s="150" t="inlineStr">
        <is>
          <t>Follow-on</t>
        </is>
      </c>
      <c r="B24" s="146" t="n"/>
      <c r="C24" s="146" t="n"/>
      <c r="D24" s="146" t="n"/>
      <c r="E24" s="146" t="n"/>
      <c r="F24" s="146" t="n"/>
      <c r="G24" s="146" t="n"/>
      <c r="H24" s="146" t="n"/>
      <c r="I24" s="146" t="n"/>
    </row>
    <row r="25">
      <c r="A25" s="4" t="inlineStr">
        <is>
          <t>Dividends</t>
        </is>
      </c>
      <c r="B25" s="139" t="n"/>
      <c r="C25" s="139" t="n"/>
      <c r="D25" s="139" t="n"/>
      <c r="E25" s="139" t="n"/>
      <c r="F25" s="139" t="n"/>
      <c r="G25" s="139" t="n"/>
      <c r="H25" s="139" t="n"/>
      <c r="I25" s="139" t="n"/>
    </row>
    <row r="26">
      <c r="A26" s="150" t="inlineStr">
        <is>
          <t>Exit Proceeds</t>
        </is>
      </c>
      <c r="B26" s="146" t="n"/>
      <c r="C26" s="146" t="n"/>
      <c r="D26" s="146" t="n"/>
      <c r="E26" s="146" t="n"/>
      <c r="F26" s="146" t="n"/>
      <c r="G26" s="146" t="n"/>
      <c r="H26" s="146" t="n"/>
      <c r="I26" s="146" t="n"/>
    </row>
    <row r="27">
      <c r="A27" s="145" t="inlineStr"/>
      <c r="B27" s="249" t="n"/>
      <c r="C27" s="249" t="n"/>
      <c r="D27" s="249" t="n"/>
      <c r="E27" s="249" t="n"/>
      <c r="F27" s="249" t="n"/>
      <c r="G27" s="249" t="n"/>
      <c r="H27" s="249" t="n"/>
      <c r="I27" s="249" t="n"/>
    </row>
    <row r="28">
      <c r="A28" s="2" t="inlineStr">
        <is>
          <t>Net Cash Flow</t>
        </is>
      </c>
      <c r="B28" s="142" t="n"/>
      <c r="C28" s="142" t="n"/>
      <c r="D28" s="142" t="n"/>
      <c r="E28" s="142" t="n"/>
      <c r="F28" s="142" t="n"/>
      <c r="G28" s="142" t="n"/>
      <c r="H28" s="142" t="n"/>
      <c r="I28" s="142" t="n"/>
    </row>
    <row r="30">
      <c r="A30" s="251" t="inlineStr">
        <is>
          <t>IRR</t>
        </is>
      </c>
      <c r="B30" s="252" t="n"/>
      <c r="C30" s="6" t="n"/>
      <c r="D30" s="6" t="n"/>
      <c r="E30" s="6" t="n"/>
      <c r="F30" s="6" t="n"/>
      <c r="G30" s="6" t="n"/>
      <c r="H30" s="6" t="n"/>
      <c r="I30" s="6" t="n"/>
    </row>
    <row r="31">
      <c r="A31" s="251" t="inlineStr">
        <is>
          <t>MOIC</t>
        </is>
      </c>
      <c r="B31" s="253" t="n"/>
      <c r="C31" s="6" t="n"/>
      <c r="D31" s="6" t="n"/>
      <c r="E31" s="6" t="n"/>
      <c r="F31" s="6" t="n"/>
      <c r="G31" s="6" t="n"/>
      <c r="H31" s="6" t="n"/>
      <c r="I31" s="6" t="n"/>
    </row>
    <row r="33">
      <c r="A33" s="85" t="inlineStr">
        <is>
          <t>Fund Economics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</row>
    <row r="34" outlineLevel="1">
      <c r="A34" s="4" t="inlineStr">
        <is>
          <t>Management Fee (% p.a.)</t>
        </is>
      </c>
      <c r="B34" s="141" t="n"/>
    </row>
    <row r="35" outlineLevel="1">
      <c r="A35" s="4" t="inlineStr">
        <is>
          <t>Carried Interest</t>
        </is>
      </c>
      <c r="B35" s="141" t="n"/>
    </row>
    <row r="36" outlineLevel="1">
      <c r="A36" s="4" t="inlineStr">
        <is>
          <t>Hurdle Rate</t>
        </is>
      </c>
      <c r="B36" s="141" t="n"/>
    </row>
    <row r="37" outlineLevel="1">
      <c r="A37" s="150" t="inlineStr">
        <is>
          <t>Net IRR (after fees)</t>
        </is>
      </c>
      <c r="B37" s="147" t="n"/>
    </row>
    <row r="38" outlineLevel="1">
      <c r="A38" s="150" t="inlineStr">
        <is>
          <t>Net MOIC</t>
        </is>
      </c>
      <c r="B38" s="209" t="n"/>
    </row>
    <row r="40">
      <c r="A40" s="241" t="inlineStr">
        <is>
          <t>SENSITIVITY</t>
        </is>
      </c>
      <c r="B40" s="242" t="n"/>
      <c r="C40" s="242" t="n"/>
      <c r="D40" s="242" t="n"/>
      <c r="E40" s="242" t="n"/>
      <c r="F40" s="242" t="n"/>
      <c r="G40" s="242" t="n"/>
      <c r="H40" s="242" t="n"/>
      <c r="I40" s="242" t="n"/>
      <c r="J40" s="242" t="n"/>
      <c r="K40" s="242" t="n"/>
      <c r="L40" s="242" t="n"/>
    </row>
    <row r="41">
      <c r="A41" s="85" t="inlineStr">
        <is>
          <t>MOIC: Exit NI × P/E</t>
        </is>
      </c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</row>
    <row r="42">
      <c r="A42" s="264" t="inlineStr">
        <is>
          <t>NI ↓ / P/E →</t>
        </is>
      </c>
      <c r="B42" s="225" t="inlineStr">
        <is>
          <t>8x</t>
        </is>
      </c>
      <c r="C42" s="225" t="inlineStr">
        <is>
          <t>10x</t>
        </is>
      </c>
      <c r="D42" s="225" t="inlineStr">
        <is>
          <t>12x</t>
        </is>
      </c>
      <c r="E42" s="225" t="inlineStr">
        <is>
          <t>15x</t>
        </is>
      </c>
      <c r="F42" s="225" t="inlineStr">
        <is>
          <t>18x</t>
        </is>
      </c>
    </row>
    <row r="43">
      <c r="A43" s="225" t="n"/>
      <c r="B43" s="265" t="n"/>
      <c r="C43" s="265" t="n"/>
      <c r="D43" s="265" t="n"/>
      <c r="E43" s="265" t="n"/>
      <c r="F43" s="265" t="n"/>
    </row>
    <row r="44">
      <c r="A44" s="225" t="n"/>
      <c r="B44" s="265" t="n"/>
      <c r="C44" s="265" t="n"/>
      <c r="D44" s="265" t="n"/>
      <c r="E44" s="265" t="n"/>
      <c r="F44" s="265" t="n"/>
    </row>
    <row r="45">
      <c r="A45" s="225" t="n"/>
      <c r="B45" s="265" t="n"/>
      <c r="C45" s="265" t="n"/>
      <c r="D45" s="256" t="n"/>
      <c r="E45" s="265" t="n"/>
      <c r="F45" s="265" t="n"/>
    </row>
    <row r="46">
      <c r="A46" s="225" t="n"/>
      <c r="B46" s="265" t="n"/>
      <c r="C46" s="265" t="n"/>
      <c r="D46" s="265" t="n"/>
      <c r="E46" s="265" t="n"/>
      <c r="F46" s="265" t="n"/>
    </row>
    <row r="47">
      <c r="A47" s="225" t="n"/>
      <c r="B47" s="265" t="n"/>
      <c r="C47" s="265" t="n"/>
      <c r="D47" s="265" t="n"/>
      <c r="E47" s="265" t="n"/>
      <c r="F47" s="265" t="n"/>
    </row>
    <row r="49">
      <c r="A49" s="85" t="inlineStr">
        <is>
          <t>IRR: Exit NI × P/E</t>
        </is>
      </c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</row>
    <row r="50">
      <c r="A50" s="264" t="inlineStr">
        <is>
          <t>NI ↓ / P/E →</t>
        </is>
      </c>
      <c r="B50" s="225" t="inlineStr">
        <is>
          <t>8x</t>
        </is>
      </c>
      <c r="C50" s="225" t="inlineStr">
        <is>
          <t>10x</t>
        </is>
      </c>
      <c r="D50" s="225" t="inlineStr">
        <is>
          <t>12x</t>
        </is>
      </c>
      <c r="E50" s="225" t="inlineStr">
        <is>
          <t>15x</t>
        </is>
      </c>
      <c r="F50" s="225" t="inlineStr">
        <is>
          <t>18x</t>
        </is>
      </c>
    </row>
    <row r="51">
      <c r="A51" s="225" t="n"/>
      <c r="B51" s="266" t="n"/>
      <c r="C51" s="266" t="n"/>
      <c r="D51" s="266" t="n"/>
      <c r="E51" s="266" t="n"/>
      <c r="F51" s="266" t="n"/>
    </row>
    <row r="52">
      <c r="A52" s="225" t="n"/>
      <c r="B52" s="266" t="n"/>
      <c r="C52" s="266" t="n"/>
      <c r="D52" s="266" t="n"/>
      <c r="E52" s="266" t="n"/>
      <c r="F52" s="266" t="n"/>
    </row>
    <row r="53">
      <c r="A53" s="225" t="n"/>
      <c r="B53" s="266" t="n"/>
      <c r="C53" s="266" t="n"/>
      <c r="D53" s="258" t="n"/>
      <c r="E53" s="266" t="n"/>
      <c r="F53" s="266" t="n"/>
    </row>
    <row r="54">
      <c r="A54" s="225" t="n"/>
      <c r="B54" s="266" t="n"/>
      <c r="C54" s="266" t="n"/>
      <c r="D54" s="266" t="n"/>
      <c r="E54" s="266" t="n"/>
      <c r="F54" s="266" t="n"/>
    </row>
    <row r="55">
      <c r="A55" s="225" t="n"/>
      <c r="B55" s="266" t="n"/>
      <c r="C55" s="266" t="n"/>
      <c r="D55" s="266" t="n"/>
      <c r="E55" s="266" t="n"/>
      <c r="F55" s="266" t="n"/>
    </row>
  </sheetData>
  <mergeCells count="6">
    <mergeCell ref="A20:L20"/>
    <mergeCell ref="B3:D3"/>
    <mergeCell ref="A1:L1"/>
    <mergeCell ref="A40:L40"/>
    <mergeCell ref="F3:H3"/>
    <mergeCell ref="J3:L3"/>
  </mergeCells>
  <dataValidations count="1">
    <dataValidation sqref="K9" showDropDown="0" showInputMessage="0" showErrorMessage="0" allowBlank="0" type="list">
      <formula1>"SoTP,P/E,P/S,EV/EBITDA"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00000"/>
    <outlinePr summaryBelow="1" summaryRight="1"/>
    <pageSetUpPr/>
  </sheetPr>
  <dimension ref="A1:M43"/>
  <sheetViews>
    <sheetView showGridLines="0" workbookViewId="0">
      <pane xSplit="3" ySplit="3" topLeftCell="D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8" customWidth="1" min="1" max="1"/>
    <col width="10" customWidth="1" min="2" max="2"/>
    <col width="15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 ht="24" customHeight="1">
      <c r="A1" s="1" t="inlineStr">
        <is>
          <t>DCF Valuation</t>
        </is>
      </c>
    </row>
    <row r="2">
      <c r="D2" s="219" t="inlineStr">
        <is>
          <t>Historical</t>
        </is>
      </c>
      <c r="E2" s="228" t="n"/>
      <c r="F2" s="229" t="n"/>
      <c r="G2" s="222" t="inlineStr">
        <is>
          <t>Forecast</t>
        </is>
      </c>
      <c r="H2" s="228" t="n"/>
      <c r="I2" s="228" t="n"/>
      <c r="J2" s="228" t="n"/>
      <c r="K2" s="228" t="n"/>
      <c r="L2" s="228" t="n"/>
      <c r="M2" s="229" t="n"/>
    </row>
    <row r="3">
      <c r="D3" s="225" t="inlineStr">
        <is>
          <t>FY2023</t>
        </is>
      </c>
      <c r="E3" s="225" t="inlineStr">
        <is>
          <t>FY2024</t>
        </is>
      </c>
      <c r="F3" s="225" t="inlineStr">
        <is>
          <t>FY2025</t>
        </is>
      </c>
      <c r="G3" s="226" t="inlineStr">
        <is>
          <t>FY2026E</t>
        </is>
      </c>
      <c r="H3" s="226" t="inlineStr">
        <is>
          <t>FY2027E</t>
        </is>
      </c>
      <c r="I3" s="226" t="inlineStr">
        <is>
          <t>FY2028E</t>
        </is>
      </c>
      <c r="J3" s="226" t="inlineStr">
        <is>
          <t>FY2029E</t>
        </is>
      </c>
      <c r="K3" s="226" t="inlineStr">
        <is>
          <t>FY2030E</t>
        </is>
      </c>
      <c r="L3" s="226" t="inlineStr">
        <is>
          <t>FY2031E</t>
        </is>
      </c>
      <c r="M3" s="226" t="inlineStr">
        <is>
          <t>FY2032E</t>
        </is>
      </c>
    </row>
    <row r="4" ht="20" customHeight="1">
      <c r="A4" s="29" t="inlineStr">
        <is>
          <t>WACC CALCULATION</t>
        </is>
      </c>
    </row>
    <row r="5">
      <c r="A5" s="85" t="inlineStr">
        <is>
          <t>Cost of Capital</t>
        </is>
      </c>
      <c r="B5" s="6" t="n"/>
      <c r="C5" s="6" t="n"/>
      <c r="D5" s="6" t="n"/>
      <c r="E5" s="6" t="n"/>
      <c r="F5" s="86" t="n"/>
      <c r="G5" s="6" t="n"/>
      <c r="H5" s="6" t="n"/>
      <c r="I5" s="6" t="n"/>
      <c r="J5" s="6" t="n"/>
      <c r="K5" s="6" t="n"/>
      <c r="L5" s="6" t="n"/>
      <c r="M5" s="6" t="n"/>
    </row>
    <row r="6" outlineLevel="1">
      <c r="A6" s="26" t="inlineStr">
        <is>
          <t>Risk-free Rate</t>
        </is>
      </c>
      <c r="B6" s="9" t="n"/>
      <c r="C6" s="9" t="n"/>
      <c r="D6" s="51" t="n"/>
      <c r="E6" s="51" t="n"/>
      <c r="F6" s="52" t="n"/>
      <c r="G6" s="51" t="n"/>
      <c r="H6" s="51" t="n"/>
      <c r="I6" s="51" t="n"/>
      <c r="J6" s="51" t="n"/>
      <c r="K6" s="51" t="n"/>
      <c r="L6" s="51" t="n"/>
      <c r="M6" s="51" t="n"/>
    </row>
    <row r="7" outlineLevel="1">
      <c r="A7" s="2" t="inlineStr">
        <is>
          <t>Equity Beta</t>
        </is>
      </c>
      <c r="D7" s="4" t="n"/>
      <c r="E7" s="4" t="n"/>
      <c r="F7" s="184" t="n"/>
      <c r="G7" s="4" t="n"/>
      <c r="H7" s="4" t="n"/>
      <c r="I7" s="4" t="n"/>
      <c r="J7" s="4" t="n"/>
      <c r="K7" s="4" t="n"/>
      <c r="L7" s="4" t="n"/>
      <c r="M7" s="4" t="n"/>
    </row>
    <row r="8" outlineLevel="1">
      <c r="A8" s="26" t="inlineStr">
        <is>
          <t>Market Risk Premium</t>
        </is>
      </c>
      <c r="B8" s="9" t="n"/>
      <c r="C8" s="9" t="n"/>
      <c r="D8" s="51" t="n"/>
      <c r="E8" s="51" t="n"/>
      <c r="F8" s="52" t="n"/>
      <c r="G8" s="51" t="n"/>
      <c r="H8" s="51" t="n"/>
      <c r="I8" s="51" t="n"/>
      <c r="J8" s="51" t="n"/>
      <c r="K8" s="51" t="n"/>
      <c r="L8" s="51" t="n"/>
      <c r="M8" s="51" t="n"/>
    </row>
    <row r="9" outlineLevel="1">
      <c r="A9" s="2" t="inlineStr">
        <is>
          <t>Cost of Equity (Ke)</t>
        </is>
      </c>
      <c r="D9" s="197">
        <f>D6+D7*D8</f>
        <v/>
      </c>
      <c r="E9" s="198" t="n"/>
      <c r="F9" s="199" t="n"/>
      <c r="G9" s="198" t="n"/>
      <c r="H9" s="198" t="n"/>
      <c r="I9" s="198" t="n"/>
      <c r="J9" s="198" t="n"/>
      <c r="K9" s="198" t="n"/>
      <c r="L9" s="198" t="n"/>
      <c r="M9" s="198" t="n"/>
    </row>
    <row r="10" outlineLevel="1">
      <c r="A10" s="26" t="inlineStr">
        <is>
          <t>Pre-tax Cost of Debt (Kd)</t>
        </is>
      </c>
      <c r="B10" s="9" t="n"/>
      <c r="C10" s="9" t="n"/>
      <c r="D10" s="51" t="n"/>
      <c r="E10" s="51" t="n"/>
      <c r="F10" s="52" t="n"/>
      <c r="G10" s="51" t="n"/>
      <c r="H10" s="51" t="n"/>
      <c r="I10" s="51" t="n"/>
      <c r="J10" s="51" t="n"/>
      <c r="K10" s="51" t="n"/>
      <c r="L10" s="51" t="n"/>
      <c r="M10" s="51" t="n"/>
    </row>
    <row r="11" outlineLevel="1">
      <c r="A11" s="2" t="inlineStr">
        <is>
          <t>Effective Tax Rate</t>
        </is>
      </c>
      <c r="D11" s="147" t="n"/>
      <c r="E11" s="147" t="n"/>
      <c r="F11" s="190" t="n"/>
      <c r="G11" s="147" t="n"/>
      <c r="H11" s="147" t="n"/>
      <c r="I11" s="147" t="n"/>
      <c r="J11" s="147" t="n"/>
      <c r="K11" s="147" t="n"/>
      <c r="L11" s="147" t="n"/>
      <c r="M11" s="147" t="n"/>
    </row>
    <row r="12" outlineLevel="1">
      <c r="A12" s="26" t="inlineStr">
        <is>
          <t>After-tax Kd</t>
        </is>
      </c>
      <c r="B12" s="9" t="n"/>
      <c r="C12" s="9" t="n"/>
      <c r="D12" s="98">
        <f>D10*(1-D11)</f>
        <v/>
      </c>
      <c r="E12" s="98" t="n"/>
      <c r="F12" s="99" t="n"/>
      <c r="G12" s="98" t="n"/>
      <c r="H12" s="98" t="n"/>
      <c r="I12" s="98" t="n"/>
      <c r="J12" s="98" t="n"/>
      <c r="K12" s="98" t="n"/>
      <c r="L12" s="98" t="n"/>
      <c r="M12" s="98" t="n"/>
    </row>
    <row r="13" outlineLevel="1">
      <c r="A13" s="2" t="inlineStr">
        <is>
          <t>Equity Weight (E/(D+E))</t>
        </is>
      </c>
      <c r="D13" s="141" t="n"/>
      <c r="E13" s="141" t="n"/>
      <c r="F13" s="161" t="n"/>
      <c r="G13" s="141" t="n"/>
      <c r="H13" s="141" t="n"/>
      <c r="I13" s="141" t="n"/>
      <c r="J13" s="141" t="n"/>
      <c r="K13" s="141" t="n"/>
      <c r="L13" s="141" t="n"/>
      <c r="M13" s="141" t="n"/>
    </row>
    <row r="14" outlineLevel="1">
      <c r="A14" s="26" t="inlineStr">
        <is>
          <t>Debt Weight</t>
        </is>
      </c>
      <c r="B14" s="9" t="n"/>
      <c r="C14" s="9" t="n"/>
      <c r="D14" s="98">
        <f>1-D13</f>
        <v/>
      </c>
      <c r="E14" s="98" t="n"/>
      <c r="F14" s="99" t="n"/>
      <c r="G14" s="98" t="n"/>
      <c r="H14" s="98" t="n"/>
      <c r="I14" s="98" t="n"/>
      <c r="J14" s="98" t="n"/>
      <c r="K14" s="98" t="n"/>
      <c r="L14" s="98" t="n"/>
      <c r="M14" s="98" t="n"/>
    </row>
    <row r="15">
      <c r="A15" s="2" t="inlineStr">
        <is>
          <t>WACC</t>
        </is>
      </c>
      <c r="D15" s="144">
        <f>D13*D9+D14*D12</f>
        <v/>
      </c>
      <c r="E15" s="197" t="n"/>
      <c r="F15" s="200" t="n"/>
      <c r="G15" s="197" t="n"/>
      <c r="H15" s="197" t="n"/>
      <c r="I15" s="197" t="n"/>
      <c r="J15" s="197" t="n"/>
      <c r="K15" s="197" t="n"/>
      <c r="L15" s="197" t="n"/>
      <c r="M15" s="197" t="n"/>
    </row>
    <row r="16">
      <c r="A16" s="9" t="n"/>
      <c r="B16" s="9" t="n"/>
      <c r="C16" s="9" t="n"/>
      <c r="D16" s="9" t="n"/>
      <c r="E16" s="9" t="n"/>
      <c r="F16" s="93" t="n"/>
      <c r="G16" s="9" t="n"/>
      <c r="H16" s="9" t="n"/>
      <c r="I16" s="9" t="n"/>
      <c r="J16" s="9" t="n"/>
      <c r="K16" s="9" t="n"/>
      <c r="L16" s="9" t="n"/>
      <c r="M16" s="9" t="n"/>
    </row>
    <row r="17">
      <c r="F17" s="189" t="n"/>
    </row>
    <row r="18" ht="20" customHeight="1">
      <c r="A18" s="29" t="inlineStr">
        <is>
          <t>FREE CASH FLOW</t>
        </is>
      </c>
    </row>
    <row r="19" outlineLevel="1">
      <c r="A19" s="26" t="inlineStr">
        <is>
          <t>EBIT</t>
        </is>
      </c>
      <c r="B19" s="26" t="inlineStr">
        <is>
          <t>RMBm</t>
        </is>
      </c>
      <c r="C19" s="9" t="n"/>
      <c r="D19" s="102" t="n"/>
      <c r="E19" s="102" t="n"/>
      <c r="F19" s="103" t="n"/>
      <c r="G19" s="102" t="n"/>
      <c r="H19" s="102" t="n"/>
      <c r="I19" s="102" t="n"/>
      <c r="J19" s="102" t="n"/>
      <c r="K19" s="102" t="n"/>
      <c r="L19" s="102" t="n"/>
      <c r="M19" s="102" t="n"/>
    </row>
    <row r="20" outlineLevel="1">
      <c r="A20" s="2" t="inlineStr">
        <is>
          <t>Tax on EBIT</t>
        </is>
      </c>
      <c r="D20" s="187">
        <f>D19*$D$11</f>
        <v/>
      </c>
      <c r="E20" s="187">
        <f>E19*$D$11</f>
        <v/>
      </c>
      <c r="F20" s="188">
        <f>F19*$D$11</f>
        <v/>
      </c>
      <c r="G20" s="187">
        <f>G19*$D$11</f>
        <v/>
      </c>
      <c r="H20" s="187">
        <f>H19*$D$11</f>
        <v/>
      </c>
      <c r="I20" s="187">
        <f>I19*$D$11</f>
        <v/>
      </c>
      <c r="J20" s="187">
        <f>J19*$D$11</f>
        <v/>
      </c>
      <c r="K20" s="187">
        <f>K19*$D$11</f>
        <v/>
      </c>
      <c r="L20" s="187">
        <f>L19*$D$11</f>
        <v/>
      </c>
      <c r="M20" s="187">
        <f>M19*$D$11</f>
        <v/>
      </c>
    </row>
    <row r="21" outlineLevel="1">
      <c r="A21" s="26" t="inlineStr">
        <is>
          <t>NOPAT</t>
        </is>
      </c>
      <c r="B21" s="9" t="n"/>
      <c r="C21" s="9" t="n"/>
      <c r="D21" s="89">
        <f>D19-D20</f>
        <v/>
      </c>
      <c r="E21" s="89">
        <f>E19-E20</f>
        <v/>
      </c>
      <c r="F21" s="95">
        <f>F19-F20</f>
        <v/>
      </c>
      <c r="G21" s="89">
        <f>G19-G20</f>
        <v/>
      </c>
      <c r="H21" s="89">
        <f>H19-H20</f>
        <v/>
      </c>
      <c r="I21" s="89">
        <f>I19-I20</f>
        <v/>
      </c>
      <c r="J21" s="89">
        <f>J19-J20</f>
        <v/>
      </c>
      <c r="K21" s="89">
        <f>K19-K20</f>
        <v/>
      </c>
      <c r="L21" s="89">
        <f>L19-L20</f>
        <v/>
      </c>
      <c r="M21" s="89">
        <f>M19-M20</f>
        <v/>
      </c>
    </row>
    <row r="22" outlineLevel="1">
      <c r="A22" s="2" t="inlineStr">
        <is>
          <t>D&amp;A</t>
        </is>
      </c>
      <c r="D22" s="150" t="n"/>
      <c r="E22" s="150" t="n"/>
      <c r="F22" s="196" t="n"/>
      <c r="G22" s="150" t="n"/>
      <c r="H22" s="150" t="n"/>
      <c r="I22" s="150" t="n"/>
      <c r="J22" s="150" t="n"/>
      <c r="K22" s="150" t="n"/>
      <c r="L22" s="150" t="n"/>
      <c r="M22" s="150" t="n"/>
    </row>
    <row r="23" outlineLevel="1">
      <c r="A23" s="26" t="inlineStr">
        <is>
          <t>CapEx</t>
        </is>
      </c>
      <c r="B23" s="9" t="n"/>
      <c r="C23" s="9" t="n"/>
      <c r="D23" s="102" t="n"/>
      <c r="E23" s="102" t="n"/>
      <c r="F23" s="103" t="n"/>
      <c r="G23" s="102" t="n"/>
      <c r="H23" s="102" t="n"/>
      <c r="I23" s="102" t="n"/>
      <c r="J23" s="102" t="n"/>
      <c r="K23" s="102" t="n"/>
      <c r="L23" s="102" t="n"/>
      <c r="M23" s="102" t="n"/>
    </row>
    <row r="24" outlineLevel="1">
      <c r="A24" s="2" t="inlineStr">
        <is>
          <t>Change in Working Capital</t>
        </is>
      </c>
      <c r="D24" s="185" t="n"/>
      <c r="E24" s="185" t="n"/>
      <c r="F24" s="195" t="n"/>
      <c r="G24" s="185" t="n"/>
      <c r="H24" s="185" t="n"/>
      <c r="I24" s="185" t="n"/>
      <c r="J24" s="185" t="n"/>
      <c r="K24" s="185" t="n"/>
      <c r="L24" s="185" t="n"/>
      <c r="M24" s="185" t="n"/>
    </row>
    <row r="25">
      <c r="A25" s="32" t="inlineStr">
        <is>
          <t>Unlevered FCF</t>
        </is>
      </c>
      <c r="B25" s="9" t="n"/>
      <c r="C25" s="9" t="n"/>
      <c r="D25" s="32">
        <f>D21+D22+D23+D24</f>
        <v/>
      </c>
      <c r="E25" s="32">
        <f>E21+E22+E23+E24</f>
        <v/>
      </c>
      <c r="F25" s="100">
        <f>F21+F22+F23+F24</f>
        <v/>
      </c>
      <c r="G25" s="32">
        <f>G21+G22+G23+G24</f>
        <v/>
      </c>
      <c r="H25" s="32">
        <f>H21+H22+H23+H24</f>
        <v/>
      </c>
      <c r="I25" s="32">
        <f>I21+I22+I23+I24</f>
        <v/>
      </c>
      <c r="J25" s="32">
        <f>J21+J22+J23+J24</f>
        <v/>
      </c>
      <c r="K25" s="32">
        <f>K21+K22+K23+K24</f>
        <v/>
      </c>
      <c r="L25" s="32">
        <f>L21+L22+L23+L24</f>
        <v/>
      </c>
      <c r="M25" s="32">
        <f>M21+M22+M23+M24</f>
        <v/>
      </c>
    </row>
    <row r="26">
      <c r="F26" s="189" t="n"/>
    </row>
    <row r="27">
      <c r="A27" s="9" t="n"/>
      <c r="B27" s="9" t="n"/>
      <c r="C27" s="9" t="n"/>
      <c r="D27" s="9" t="n"/>
      <c r="E27" s="9" t="n"/>
      <c r="F27" s="93" t="n"/>
      <c r="G27" s="9" t="n"/>
      <c r="H27" s="9" t="n"/>
      <c r="I27" s="9" t="n"/>
      <c r="J27" s="9" t="n"/>
      <c r="K27" s="9" t="n"/>
      <c r="L27" s="9" t="n"/>
      <c r="M27" s="9" t="n"/>
    </row>
    <row r="28" ht="20" customHeight="1">
      <c r="A28" s="29" t="inlineStr">
        <is>
          <t>TERMINAL VALUE</t>
        </is>
      </c>
    </row>
    <row r="29" outlineLevel="1">
      <c r="A29" s="2" t="inlineStr">
        <is>
          <t>TV Method</t>
        </is>
      </c>
      <c r="D29" s="193" t="inlineStr">
        <is>
          <t>Gordon Growth</t>
        </is>
      </c>
      <c r="E29" s="4" t="n"/>
      <c r="F29" s="184" t="n"/>
      <c r="G29" s="4" t="n"/>
      <c r="H29" s="4" t="n"/>
      <c r="I29" s="4" t="n"/>
      <c r="J29" s="4" t="n"/>
      <c r="K29" s="4" t="n"/>
      <c r="L29" s="4" t="n"/>
      <c r="M29" s="4" t="n"/>
    </row>
    <row r="30" outlineLevel="1">
      <c r="A30" s="26" t="inlineStr">
        <is>
          <t>Terminal Growth Rate</t>
        </is>
      </c>
      <c r="B30" s="9" t="n"/>
      <c r="C30" s="9" t="n"/>
      <c r="D30" s="51" t="n"/>
      <c r="E30" s="51" t="n"/>
      <c r="F30" s="52" t="n"/>
      <c r="G30" s="51" t="n"/>
      <c r="H30" s="51" t="n"/>
      <c r="I30" s="51" t="n"/>
      <c r="J30" s="51" t="n"/>
      <c r="K30" s="51" t="n"/>
      <c r="L30" s="51" t="n"/>
      <c r="M30" s="51" t="n"/>
    </row>
    <row r="31" outlineLevel="1">
      <c r="A31" s="2" t="inlineStr">
        <is>
          <t>Exit Multiple</t>
        </is>
      </c>
      <c r="D31" s="4" t="n"/>
      <c r="E31" s="4" t="n"/>
      <c r="F31" s="184" t="n"/>
      <c r="G31" s="4" t="n"/>
      <c r="H31" s="4" t="n"/>
      <c r="I31" s="4" t="n"/>
      <c r="J31" s="4" t="n"/>
      <c r="K31" s="4" t="n"/>
      <c r="L31" s="4" t="n"/>
      <c r="M31" s="4" t="n"/>
    </row>
    <row r="32" outlineLevel="1">
      <c r="A32" s="26" t="inlineStr">
        <is>
          <t>Terminal Year FCF</t>
        </is>
      </c>
      <c r="B32" s="9" t="n"/>
      <c r="C32" s="9" t="n"/>
      <c r="D32" s="89">
        <f>M25</f>
        <v/>
      </c>
      <c r="E32" s="89" t="n"/>
      <c r="F32" s="95" t="n"/>
      <c r="G32" s="89" t="n"/>
      <c r="H32" s="89" t="n"/>
      <c r="I32" s="89" t="n"/>
      <c r="J32" s="89" t="n"/>
      <c r="K32" s="89" t="n"/>
      <c r="L32" s="89" t="n"/>
      <c r="M32" s="89" t="n"/>
    </row>
    <row r="33">
      <c r="A33" s="2" t="inlineStr">
        <is>
          <t>Terminal Value</t>
        </is>
      </c>
      <c r="D33" s="2">
        <f>IF(D29="Gordon Growth",D32*(1+D30)/($D$15-D30),D32*D31)</f>
        <v/>
      </c>
      <c r="E33" s="187" t="n"/>
      <c r="F33" s="188" t="n"/>
      <c r="G33" s="187" t="n"/>
      <c r="H33" s="187" t="n"/>
      <c r="I33" s="187" t="n"/>
      <c r="J33" s="187" t="n"/>
      <c r="K33" s="187" t="n"/>
      <c r="L33" s="187" t="n"/>
      <c r="M33" s="187" t="n"/>
    </row>
    <row r="34">
      <c r="A34" s="9" t="n"/>
      <c r="B34" s="9" t="n"/>
      <c r="C34" s="9" t="n"/>
      <c r="D34" s="9" t="n"/>
      <c r="E34" s="9" t="n"/>
      <c r="F34" s="93" t="n"/>
      <c r="G34" s="9" t="n"/>
      <c r="H34" s="9" t="n"/>
      <c r="I34" s="9" t="n"/>
      <c r="J34" s="9" t="n"/>
      <c r="K34" s="9" t="n"/>
      <c r="L34" s="9" t="n"/>
      <c r="M34" s="9" t="n"/>
    </row>
    <row r="35">
      <c r="F35" s="189" t="n"/>
    </row>
    <row r="36" ht="20" customHeight="1">
      <c r="A36" s="29" t="inlineStr">
        <is>
          <t>VALUATION SUMMARY</t>
        </is>
      </c>
    </row>
    <row r="37" outlineLevel="1">
      <c r="A37" s="26" t="inlineStr">
        <is>
          <t>Discount Factor</t>
        </is>
      </c>
      <c r="B37" s="9" t="n"/>
      <c r="C37" s="9" t="n"/>
      <c r="D37" s="89">
        <f>1/(1+$D$15)^1</f>
        <v/>
      </c>
      <c r="E37" s="89">
        <f>1/(1+$D$15)^2</f>
        <v/>
      </c>
      <c r="F37" s="95">
        <f>1/(1+$D$15)^3</f>
        <v/>
      </c>
      <c r="G37" s="89">
        <f>1/(1+$D$15)^4</f>
        <v/>
      </c>
      <c r="H37" s="89">
        <f>1/(1+$D$15)^5</f>
        <v/>
      </c>
      <c r="I37" s="89">
        <f>1/(1+$D$15)^6</f>
        <v/>
      </c>
      <c r="J37" s="89">
        <f>1/(1+$D$15)^7</f>
        <v/>
      </c>
      <c r="K37" s="89">
        <f>1/(1+$D$15)^8</f>
        <v/>
      </c>
      <c r="L37" s="89">
        <f>1/(1+$D$15)^9</f>
        <v/>
      </c>
      <c r="M37" s="89">
        <f>1/(1+$D$15)^10</f>
        <v/>
      </c>
    </row>
    <row r="38" outlineLevel="1">
      <c r="A38" s="2" t="inlineStr">
        <is>
          <t>PV of FCF</t>
        </is>
      </c>
      <c r="D38" s="187">
        <f>D25*D37</f>
        <v/>
      </c>
      <c r="E38" s="187">
        <f>E25*E37</f>
        <v/>
      </c>
      <c r="F38" s="188">
        <f>F25*F37</f>
        <v/>
      </c>
      <c r="G38" s="187">
        <f>G25*G37</f>
        <v/>
      </c>
      <c r="H38" s="187">
        <f>H25*H37</f>
        <v/>
      </c>
      <c r="I38" s="187">
        <f>I25*I37</f>
        <v/>
      </c>
      <c r="J38" s="187">
        <f>J25*J37</f>
        <v/>
      </c>
      <c r="K38" s="187">
        <f>K25*K37</f>
        <v/>
      </c>
      <c r="L38" s="187">
        <f>L25*L37</f>
        <v/>
      </c>
      <c r="M38" s="187">
        <f>M25*M37</f>
        <v/>
      </c>
    </row>
    <row r="39" outlineLevel="1">
      <c r="A39" s="32" t="inlineStr">
        <is>
          <t>Sum of PV FCFs</t>
        </is>
      </c>
      <c r="B39" s="9" t="n"/>
      <c r="C39" s="9" t="n"/>
      <c r="D39" s="32">
        <f>SUM(D38:M38)</f>
        <v/>
      </c>
      <c r="E39" s="121" t="n"/>
      <c r="F39" s="122" t="n"/>
      <c r="G39" s="121" t="n"/>
      <c r="H39" s="121" t="n"/>
      <c r="I39" s="121" t="n"/>
      <c r="J39" s="121" t="n"/>
      <c r="K39" s="121" t="n"/>
      <c r="L39" s="121" t="n"/>
      <c r="M39" s="121" t="n"/>
    </row>
    <row r="40" outlineLevel="1">
      <c r="A40" s="2" t="inlineStr">
        <is>
          <t>PV of Terminal Value</t>
        </is>
      </c>
      <c r="D40" s="187">
        <f>D33*M37</f>
        <v/>
      </c>
      <c r="E40" s="185" t="n"/>
      <c r="F40" s="195" t="n"/>
      <c r="G40" s="185" t="n"/>
      <c r="H40" s="185" t="n"/>
      <c r="I40" s="185" t="n"/>
      <c r="J40" s="185" t="n"/>
      <c r="K40" s="185" t="n"/>
      <c r="L40" s="185" t="n"/>
      <c r="M40" s="185" t="n"/>
    </row>
    <row r="41" outlineLevel="1">
      <c r="A41" s="32" t="inlineStr">
        <is>
          <t>Enterprise Value</t>
        </is>
      </c>
      <c r="B41" s="9" t="n"/>
      <c r="C41" s="9" t="n"/>
      <c r="D41" s="32">
        <f>D39+D40</f>
        <v/>
      </c>
      <c r="E41" s="121" t="n"/>
      <c r="F41" s="122" t="n"/>
      <c r="G41" s="121" t="n"/>
      <c r="H41" s="121" t="n"/>
      <c r="I41" s="121" t="n"/>
      <c r="J41" s="121" t="n"/>
      <c r="K41" s="121" t="n"/>
      <c r="L41" s="121" t="n"/>
      <c r="M41" s="121" t="n"/>
    </row>
    <row r="42" outlineLevel="1">
      <c r="A42" s="2" t="inlineStr">
        <is>
          <t>Less: Net Debt</t>
        </is>
      </c>
      <c r="D42" s="150" t="n"/>
      <c r="E42" s="150" t="n"/>
      <c r="F42" s="196" t="n"/>
      <c r="G42" s="150" t="n"/>
      <c r="H42" s="150" t="n"/>
      <c r="I42" s="150" t="n"/>
      <c r="J42" s="150" t="n"/>
      <c r="K42" s="150" t="n"/>
      <c r="L42" s="150" t="n"/>
      <c r="M42" s="150" t="n"/>
    </row>
    <row r="43">
      <c r="A43" s="32" t="inlineStr">
        <is>
          <t>Equity Value</t>
        </is>
      </c>
      <c r="B43" s="9" t="n"/>
      <c r="C43" s="9" t="n"/>
      <c r="D43" s="32">
        <f>D41-D42</f>
        <v/>
      </c>
      <c r="E43" s="121" t="n"/>
      <c r="F43" s="122" t="n"/>
      <c r="G43" s="121" t="n"/>
      <c r="H43" s="121" t="n"/>
      <c r="I43" s="121" t="n"/>
      <c r="J43" s="121" t="n"/>
      <c r="K43" s="121" t="n"/>
      <c r="L43" s="121" t="n"/>
      <c r="M43" s="121" t="n"/>
    </row>
  </sheetData>
  <mergeCells count="7">
    <mergeCell ref="D2:F2"/>
    <mergeCell ref="A36:M36"/>
    <mergeCell ref="A1:M1"/>
    <mergeCell ref="A18:M18"/>
    <mergeCell ref="A4:M4"/>
    <mergeCell ref="G2:M2"/>
    <mergeCell ref="A28:M28"/>
  </mergeCells>
  <dataValidations count="1">
    <dataValidation sqref="D29" showDropDown="0" showInputMessage="0" showErrorMessage="0" allowBlank="1" errorTitle="Invalid" error="Select Gordon Growth or Exit Multiple" type="list">
      <formula1>"Gordon Growth,Exit Multiple"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00000"/>
    <outlinePr summaryBelow="1" summaryRight="1"/>
    <pageSetUpPr/>
  </sheetPr>
  <dimension ref="A1:L4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1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0" customWidth="1" min="8" max="8"/>
    <col width="10" customWidth="1" min="9" max="9"/>
    <col width="10" customWidth="1" min="10" max="10"/>
    <col width="10" customWidth="1" min="11" max="11"/>
    <col width="12" customWidth="1" min="12" max="12"/>
  </cols>
  <sheetData>
    <row r="1">
      <c r="A1" s="237" t="inlineStr">
        <is>
          <t>Comparable Analysis</t>
        </is>
      </c>
    </row>
    <row r="3">
      <c r="A3" s="241" t="inlineStr">
        <is>
          <t>TRADING COMPARABLES</t>
        </is>
      </c>
      <c r="B3" s="242" t="n"/>
      <c r="C3" s="242" t="n"/>
      <c r="D3" s="242" t="n"/>
      <c r="E3" s="242" t="n"/>
      <c r="F3" s="242" t="n"/>
      <c r="G3" s="242" t="n"/>
      <c r="H3" s="242" t="n"/>
      <c r="I3" s="242" t="n"/>
      <c r="J3" s="242" t="n"/>
      <c r="K3" s="242" t="n"/>
      <c r="L3" s="242" t="n"/>
    </row>
    <row r="4">
      <c r="A4" s="225" t="inlineStr">
        <is>
          <t>Company</t>
        </is>
      </c>
      <c r="B4" s="225" t="inlineStr">
        <is>
          <t>Ticker</t>
        </is>
      </c>
      <c r="C4" s="225" t="inlineStr">
        <is>
          <t>Mkt Cap</t>
        </is>
      </c>
      <c r="D4" s="225" t="inlineStr">
        <is>
          <t>EV</t>
        </is>
      </c>
      <c r="E4" s="225" t="inlineStr">
        <is>
          <t>LTM Rev</t>
        </is>
      </c>
      <c r="F4" s="225" t="inlineStr">
        <is>
          <t>NTM Rev</t>
        </is>
      </c>
      <c r="G4" s="225" t="inlineStr">
        <is>
          <t>LTM EBITDA</t>
        </is>
      </c>
      <c r="H4" s="225" t="inlineStr">
        <is>
          <t>EV/Rev</t>
        </is>
      </c>
      <c r="I4" s="225" t="inlineStr">
        <is>
          <t>EV/EBITDA</t>
        </is>
      </c>
      <c r="J4" s="225" t="inlineStr">
        <is>
          <t>P/E</t>
        </is>
      </c>
      <c r="K4" s="225" t="inlineStr">
        <is>
          <t>Rev Gr%</t>
        </is>
      </c>
      <c r="L4" s="225" t="inlineStr">
        <is>
          <t>EBITDA Mgn</t>
        </is>
      </c>
    </row>
    <row r="5" outlineLevel="1">
      <c r="A5" s="4" t="n"/>
      <c r="B5" s="4" t="n"/>
      <c r="C5" s="139" t="n"/>
      <c r="D5" s="139" t="n"/>
      <c r="E5" s="139" t="n"/>
      <c r="F5" s="139" t="n"/>
      <c r="G5" s="139" t="n"/>
      <c r="H5" s="140" t="n"/>
      <c r="I5" s="140" t="n"/>
      <c r="J5" s="140" t="n"/>
      <c r="K5" s="141" t="n"/>
      <c r="L5" s="141" t="n"/>
    </row>
    <row r="6" outlineLevel="1">
      <c r="A6" s="4" t="n"/>
      <c r="B6" s="4" t="n"/>
      <c r="C6" s="139" t="n"/>
      <c r="D6" s="139" t="n"/>
      <c r="E6" s="139" t="n"/>
      <c r="F6" s="139" t="n"/>
      <c r="G6" s="139" t="n"/>
      <c r="H6" s="140" t="n"/>
      <c r="I6" s="140" t="n"/>
      <c r="J6" s="140" t="n"/>
      <c r="K6" s="141" t="n"/>
      <c r="L6" s="141" t="n"/>
    </row>
    <row r="7" outlineLevel="1">
      <c r="A7" s="4" t="n"/>
      <c r="B7" s="4" t="n"/>
      <c r="C7" s="139" t="n"/>
      <c r="D7" s="139" t="n"/>
      <c r="E7" s="139" t="n"/>
      <c r="F7" s="139" t="n"/>
      <c r="G7" s="139" t="n"/>
      <c r="H7" s="140" t="n"/>
      <c r="I7" s="140" t="n"/>
      <c r="J7" s="140" t="n"/>
      <c r="K7" s="141" t="n"/>
      <c r="L7" s="141" t="n"/>
    </row>
    <row r="8" outlineLevel="1">
      <c r="A8" s="4" t="n"/>
      <c r="B8" s="4" t="n"/>
      <c r="C8" s="139" t="n"/>
      <c r="D8" s="139" t="n"/>
      <c r="E8" s="139" t="n"/>
      <c r="F8" s="139" t="n"/>
      <c r="G8" s="139" t="n"/>
      <c r="H8" s="140" t="n"/>
      <c r="I8" s="140" t="n"/>
      <c r="J8" s="140" t="n"/>
      <c r="K8" s="141" t="n"/>
      <c r="L8" s="141" t="n"/>
    </row>
    <row r="9" outlineLevel="1">
      <c r="A9" s="4" t="n"/>
      <c r="B9" s="4" t="n"/>
      <c r="C9" s="139" t="n"/>
      <c r="D9" s="139" t="n"/>
      <c r="E9" s="139" t="n"/>
      <c r="F9" s="139" t="n"/>
      <c r="G9" s="139" t="n"/>
      <c r="H9" s="140" t="n"/>
      <c r="I9" s="140" t="n"/>
      <c r="J9" s="140" t="n"/>
      <c r="K9" s="141" t="n"/>
      <c r="L9" s="141" t="n"/>
    </row>
    <row r="10" outlineLevel="1">
      <c r="A10" s="4" t="n"/>
      <c r="B10" s="4" t="n"/>
      <c r="C10" s="139" t="n"/>
      <c r="D10" s="139" t="n"/>
      <c r="E10" s="139" t="n"/>
      <c r="F10" s="139" t="n"/>
      <c r="G10" s="139" t="n"/>
      <c r="H10" s="140" t="n"/>
      <c r="I10" s="140" t="n"/>
      <c r="J10" s="140" t="n"/>
      <c r="K10" s="141" t="n"/>
      <c r="L10" s="141" t="n"/>
    </row>
    <row r="11" outlineLevel="1">
      <c r="A11" s="4" t="n"/>
      <c r="B11" s="4" t="n"/>
      <c r="C11" s="139" t="n"/>
      <c r="D11" s="139" t="n"/>
      <c r="E11" s="139" t="n"/>
      <c r="F11" s="139" t="n"/>
      <c r="G11" s="139" t="n"/>
      <c r="H11" s="140" t="n"/>
      <c r="I11" s="140" t="n"/>
      <c r="J11" s="140" t="n"/>
      <c r="K11" s="141" t="n"/>
      <c r="L11" s="141" t="n"/>
    </row>
    <row r="12" outlineLevel="1">
      <c r="A12" s="4" t="n"/>
      <c r="B12" s="4" t="n"/>
      <c r="C12" s="139" t="n"/>
      <c r="D12" s="139" t="n"/>
      <c r="E12" s="139" t="n"/>
      <c r="F12" s="139" t="n"/>
      <c r="G12" s="139" t="n"/>
      <c r="H12" s="140" t="n"/>
      <c r="I12" s="140" t="n"/>
      <c r="J12" s="140" t="n"/>
      <c r="K12" s="141" t="n"/>
      <c r="L12" s="141" t="n"/>
    </row>
    <row r="13" outlineLevel="1">
      <c r="A13" s="4" t="n"/>
      <c r="B13" s="4" t="n"/>
      <c r="C13" s="139" t="n"/>
      <c r="D13" s="139" t="n"/>
      <c r="E13" s="139" t="n"/>
      <c r="F13" s="139" t="n"/>
      <c r="G13" s="139" t="n"/>
      <c r="H13" s="140" t="n"/>
      <c r="I13" s="140" t="n"/>
      <c r="J13" s="140" t="n"/>
      <c r="K13" s="141" t="n"/>
      <c r="L13" s="141" t="n"/>
    </row>
    <row r="14" outlineLevel="1">
      <c r="A14" s="4" t="n"/>
      <c r="B14" s="4" t="n"/>
      <c r="C14" s="139" t="n"/>
      <c r="D14" s="139" t="n"/>
      <c r="E14" s="139" t="n"/>
      <c r="F14" s="139" t="n"/>
      <c r="G14" s="139" t="n"/>
      <c r="H14" s="140" t="n"/>
      <c r="I14" s="140" t="n"/>
      <c r="J14" s="140" t="n"/>
      <c r="K14" s="141" t="n"/>
      <c r="L14" s="141" t="n"/>
    </row>
    <row r="15" outlineLevel="1">
      <c r="A15" s="4" t="n"/>
      <c r="B15" s="4" t="n"/>
      <c r="C15" s="139" t="n"/>
      <c r="D15" s="139" t="n"/>
      <c r="E15" s="139" t="n"/>
      <c r="F15" s="139" t="n"/>
      <c r="G15" s="139" t="n"/>
      <c r="H15" s="140" t="n"/>
      <c r="I15" s="140" t="n"/>
      <c r="J15" s="140" t="n"/>
      <c r="K15" s="141" t="n"/>
      <c r="L15" s="141" t="n"/>
    </row>
    <row r="16" outlineLevel="1">
      <c r="A16" s="4" t="n"/>
      <c r="B16" s="4" t="n"/>
      <c r="C16" s="139" t="n"/>
      <c r="D16" s="139" t="n"/>
      <c r="E16" s="139" t="n"/>
      <c r="F16" s="139" t="n"/>
      <c r="G16" s="139" t="n"/>
      <c r="H16" s="140" t="n"/>
      <c r="I16" s="140" t="n"/>
      <c r="J16" s="140" t="n"/>
      <c r="K16" s="141" t="n"/>
      <c r="L16" s="141" t="n"/>
    </row>
    <row r="18">
      <c r="A18" s="85" t="inlineStr">
        <is>
          <t>Statistics</t>
        </is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</row>
    <row r="19">
      <c r="A19" s="2" t="inlineStr">
        <is>
          <t>Average</t>
        </is>
      </c>
      <c r="C19" s="142">
        <f>AVERAGE(C5:C16)</f>
        <v/>
      </c>
      <c r="D19" s="142">
        <f>AVERAGE(D5:D16)</f>
        <v/>
      </c>
      <c r="E19" s="142">
        <f>AVERAGE(E5:E16)</f>
        <v/>
      </c>
      <c r="F19" s="142">
        <f>AVERAGE(F5:F16)</f>
        <v/>
      </c>
      <c r="G19" s="142">
        <f>AVERAGE(G5:G16)</f>
        <v/>
      </c>
      <c r="H19" s="143">
        <f>AVERAGE(H5:H16)</f>
        <v/>
      </c>
      <c r="I19" s="143">
        <f>AVERAGE(I5:I16)</f>
        <v/>
      </c>
      <c r="J19" s="143">
        <f>AVERAGE(J5:J16)</f>
        <v/>
      </c>
      <c r="K19" s="144">
        <f>AVERAGE(K5:K16)</f>
        <v/>
      </c>
      <c r="L19" s="144">
        <f>AVERAGE(L5:L16)</f>
        <v/>
      </c>
    </row>
    <row r="20">
      <c r="A20" s="2" t="inlineStr">
        <is>
          <t>Median</t>
        </is>
      </c>
      <c r="C20" s="142">
        <f>MEDIAN(C5:C16)</f>
        <v/>
      </c>
      <c r="D20" s="142">
        <f>MEDIAN(D5:D16)</f>
        <v/>
      </c>
      <c r="E20" s="142">
        <f>MEDIAN(E5:E16)</f>
        <v/>
      </c>
      <c r="F20" s="142">
        <f>MEDIAN(F5:F16)</f>
        <v/>
      </c>
      <c r="G20" s="142">
        <f>MEDIAN(G5:G16)</f>
        <v/>
      </c>
      <c r="H20" s="143">
        <f>MEDIAN(H5:H16)</f>
        <v/>
      </c>
      <c r="I20" s="143">
        <f>MEDIAN(I5:I16)</f>
        <v/>
      </c>
      <c r="J20" s="143">
        <f>MEDIAN(J5:J16)</f>
        <v/>
      </c>
      <c r="K20" s="144">
        <f>MEDIAN(K5:K16)</f>
        <v/>
      </c>
      <c r="L20" s="144">
        <f>MEDIAN(L5:L16)</f>
        <v/>
      </c>
    </row>
    <row r="21">
      <c r="A21" s="2" t="inlineStr">
        <is>
          <t>High</t>
        </is>
      </c>
      <c r="C21" s="142">
        <f>MAX(C5:C16)</f>
        <v/>
      </c>
      <c r="D21" s="142">
        <f>MAX(D5:D16)</f>
        <v/>
      </c>
      <c r="E21" s="142">
        <f>MAX(E5:E16)</f>
        <v/>
      </c>
      <c r="F21" s="142">
        <f>MAX(F5:F16)</f>
        <v/>
      </c>
      <c r="G21" s="142">
        <f>MAX(G5:G16)</f>
        <v/>
      </c>
      <c r="H21" s="143">
        <f>MAX(H5:H16)</f>
        <v/>
      </c>
      <c r="I21" s="143">
        <f>MAX(I5:I16)</f>
        <v/>
      </c>
      <c r="J21" s="143">
        <f>MAX(J5:J16)</f>
        <v/>
      </c>
      <c r="K21" s="144">
        <f>MAX(K5:K16)</f>
        <v/>
      </c>
      <c r="L21" s="144">
        <f>MAX(L5:L16)</f>
        <v/>
      </c>
    </row>
    <row r="22">
      <c r="A22" s="2" t="inlineStr">
        <is>
          <t>Low</t>
        </is>
      </c>
      <c r="C22" s="142">
        <f>MIN(C5:C16)</f>
        <v/>
      </c>
      <c r="D22" s="142">
        <f>MIN(D5:D16)</f>
        <v/>
      </c>
      <c r="E22" s="142">
        <f>MIN(E5:E16)</f>
        <v/>
      </c>
      <c r="F22" s="142">
        <f>MIN(F5:F16)</f>
        <v/>
      </c>
      <c r="G22" s="142">
        <f>MIN(G5:G16)</f>
        <v/>
      </c>
      <c r="H22" s="143">
        <f>MIN(H5:H16)</f>
        <v/>
      </c>
      <c r="I22" s="143">
        <f>MIN(I5:I16)</f>
        <v/>
      </c>
      <c r="J22" s="143">
        <f>MIN(J5:J16)</f>
        <v/>
      </c>
      <c r="K22" s="144">
        <f>MIN(K5:K16)</f>
        <v/>
      </c>
      <c r="L22" s="144">
        <f>MIN(L5:L16)</f>
        <v/>
      </c>
    </row>
    <row r="24">
      <c r="A24" s="241" t="inlineStr">
        <is>
          <t>PRECEDENT TRANSACTIONS</t>
        </is>
      </c>
      <c r="B24" s="242" t="n"/>
      <c r="C24" s="242" t="n"/>
      <c r="D24" s="242" t="n"/>
      <c r="E24" s="242" t="n"/>
      <c r="F24" s="242" t="n"/>
      <c r="G24" s="242" t="n"/>
      <c r="H24" s="242" t="n"/>
      <c r="I24" s="242" t="n"/>
      <c r="J24" s="242" t="n"/>
      <c r="K24" s="242" t="n"/>
      <c r="L24" s="242" t="n"/>
    </row>
    <row r="25">
      <c r="A25" s="225" t="inlineStr">
        <is>
          <t>Target</t>
        </is>
      </c>
      <c r="B25" s="225" t="inlineStr">
        <is>
          <t>Acquirer</t>
        </is>
      </c>
      <c r="C25" s="225" t="inlineStr">
        <is>
          <t>Date</t>
        </is>
      </c>
      <c r="D25" s="225" t="inlineStr">
        <is>
          <t>EV (RMBm)</t>
        </is>
      </c>
      <c r="E25" s="225" t="inlineStr">
        <is>
          <t>EV/Revenue</t>
        </is>
      </c>
      <c r="F25" s="225" t="inlineStr">
        <is>
          <t>EV/EBITDA</t>
        </is>
      </c>
      <c r="G25" s="225" t="inlineStr">
        <is>
          <t>Premium %</t>
        </is>
      </c>
      <c r="H25" s="225" t="inlineStr">
        <is>
          <t>Deal Type</t>
        </is>
      </c>
      <c r="I25" s="225" t="inlineStr">
        <is>
          <t>Status</t>
        </is>
      </c>
    </row>
    <row r="26" outlineLevel="1">
      <c r="A26" s="4" t="n"/>
      <c r="B26" s="4" t="n"/>
      <c r="C26" s="267" t="n"/>
      <c r="D26" s="139" t="n"/>
      <c r="E26" s="140" t="n"/>
      <c r="F26" s="140" t="n"/>
      <c r="G26" s="141" t="n"/>
      <c r="H26" s="4" t="n"/>
      <c r="I26" s="4" t="n"/>
    </row>
    <row r="27" outlineLevel="1">
      <c r="A27" s="4" t="n"/>
      <c r="B27" s="4" t="n"/>
      <c r="C27" s="267" t="n"/>
      <c r="D27" s="139" t="n"/>
      <c r="E27" s="140" t="n"/>
      <c r="F27" s="140" t="n"/>
      <c r="G27" s="141" t="n"/>
      <c r="H27" s="4" t="n"/>
      <c r="I27" s="4" t="n"/>
    </row>
    <row r="28" outlineLevel="1">
      <c r="A28" s="4" t="n"/>
      <c r="B28" s="4" t="n"/>
      <c r="C28" s="267" t="n"/>
      <c r="D28" s="139" t="n"/>
      <c r="E28" s="140" t="n"/>
      <c r="F28" s="140" t="n"/>
      <c r="G28" s="141" t="n"/>
      <c r="H28" s="4" t="n"/>
      <c r="I28" s="4" t="n"/>
    </row>
    <row r="29" outlineLevel="1">
      <c r="A29" s="4" t="n"/>
      <c r="B29" s="4" t="n"/>
      <c r="C29" s="267" t="n"/>
      <c r="D29" s="139" t="n"/>
      <c r="E29" s="140" t="n"/>
      <c r="F29" s="140" t="n"/>
      <c r="G29" s="141" t="n"/>
      <c r="H29" s="4" t="n"/>
      <c r="I29" s="4" t="n"/>
    </row>
    <row r="30" outlineLevel="1">
      <c r="A30" s="4" t="n"/>
      <c r="B30" s="4" t="n"/>
      <c r="C30" s="267" t="n"/>
      <c r="D30" s="139" t="n"/>
      <c r="E30" s="140" t="n"/>
      <c r="F30" s="140" t="n"/>
      <c r="G30" s="141" t="n"/>
      <c r="H30" s="4" t="n"/>
      <c r="I30" s="4" t="n"/>
    </row>
    <row r="31" outlineLevel="1">
      <c r="A31" s="4" t="n"/>
      <c r="B31" s="4" t="n"/>
      <c r="C31" s="267" t="n"/>
      <c r="D31" s="139" t="n"/>
      <c r="E31" s="140" t="n"/>
      <c r="F31" s="140" t="n"/>
      <c r="G31" s="141" t="n"/>
      <c r="H31" s="4" t="n"/>
      <c r="I31" s="4" t="n"/>
    </row>
    <row r="32" outlineLevel="1">
      <c r="A32" s="4" t="n"/>
      <c r="B32" s="4" t="n"/>
      <c r="C32" s="267" t="n"/>
      <c r="D32" s="139" t="n"/>
      <c r="E32" s="140" t="n"/>
      <c r="F32" s="140" t="n"/>
      <c r="G32" s="141" t="n"/>
      <c r="H32" s="4" t="n"/>
      <c r="I32" s="4" t="n"/>
    </row>
    <row r="33" outlineLevel="1">
      <c r="A33" s="4" t="n"/>
      <c r="B33" s="4" t="n"/>
      <c r="C33" s="267" t="n"/>
      <c r="D33" s="139" t="n"/>
      <c r="E33" s="140" t="n"/>
      <c r="F33" s="140" t="n"/>
      <c r="G33" s="141" t="n"/>
      <c r="H33" s="4" t="n"/>
      <c r="I33" s="4" t="n"/>
    </row>
    <row r="36">
      <c r="A36" s="241" t="inlineStr">
        <is>
          <t>VALUATION FOOTBALL FIELD</t>
        </is>
      </c>
      <c r="B36" s="242" t="n"/>
      <c r="C36" s="242" t="n"/>
      <c r="D36" s="242" t="n"/>
      <c r="E36" s="242" t="n"/>
      <c r="F36" s="242" t="n"/>
      <c r="G36" s="242" t="n"/>
      <c r="H36" s="242" t="n"/>
      <c r="I36" s="242" t="n"/>
      <c r="J36" s="242" t="n"/>
      <c r="K36" s="242" t="n"/>
      <c r="L36" s="242" t="n"/>
    </row>
    <row r="37">
      <c r="A37" s="85" t="inlineStr">
        <is>
          <t>Valuation Summary</t>
        </is>
      </c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</row>
    <row r="38">
      <c r="A38" s="2" t="inlineStr"/>
      <c r="B38" s="2" t="inlineStr">
        <is>
          <t>Method</t>
        </is>
      </c>
      <c r="C38" s="2" t="inlineStr">
        <is>
          <t>Low</t>
        </is>
      </c>
      <c r="D38" s="2" t="inlineStr">
        <is>
          <t>Mid</t>
        </is>
      </c>
      <c r="E38" s="2" t="inlineStr">
        <is>
          <t>High</t>
        </is>
      </c>
    </row>
    <row r="39">
      <c r="A39" s="145" t="inlineStr">
        <is>
          <t>Trading Comps (EV/EBITDA)</t>
        </is>
      </c>
      <c r="C39" s="139" t="n"/>
      <c r="D39" s="139" t="n"/>
      <c r="E39" s="139" t="n"/>
    </row>
    <row r="40">
      <c r="A40" s="145" t="inlineStr">
        <is>
          <t>Precedent Transactions</t>
        </is>
      </c>
      <c r="C40" s="139" t="n"/>
      <c r="D40" s="139" t="n"/>
      <c r="E40" s="139" t="n"/>
    </row>
    <row r="41">
      <c r="A41" s="145" t="inlineStr">
        <is>
          <t>DCF</t>
        </is>
      </c>
      <c r="C41" s="139" t="n"/>
      <c r="D41" s="139" t="n"/>
      <c r="E41" s="139" t="n"/>
    </row>
    <row r="42">
      <c r="A42" s="145" t="inlineStr">
        <is>
          <t>Direct P/E</t>
        </is>
      </c>
      <c r="C42" s="139" t="n"/>
      <c r="D42" s="139" t="n"/>
      <c r="E42" s="139" t="n"/>
    </row>
    <row r="43">
      <c r="A43" s="211" t="inlineStr">
        <is>
          <t>Blended Equity Value</t>
        </is>
      </c>
      <c r="C43" s="2" t="n"/>
      <c r="D43" s="2" t="n"/>
      <c r="E43" s="2" t="n"/>
    </row>
  </sheetData>
  <mergeCells count="4">
    <mergeCell ref="A36:L36"/>
    <mergeCell ref="A3:L3"/>
    <mergeCell ref="A24:L24"/>
    <mergeCell ref="A1:L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C8A415"/>
    <outlinePr summaryBelow="1" summaryRight="1"/>
    <pageSetUpPr/>
  </sheetPr>
  <dimension ref="A1:F2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237" t="inlineStr">
        <is>
          <t>Dashboard</t>
        </is>
      </c>
    </row>
    <row r="3">
      <c r="B3" s="225" t="inlineStr">
        <is>
          <t>LFY (FY2025)</t>
        </is>
      </c>
      <c r="C3" s="226" t="inlineStr">
        <is>
          <t>CFY (FY2026E)</t>
        </is>
      </c>
      <c r="D3" s="226" t="inlineStr">
        <is>
          <t>NFY (FY2027E)</t>
        </is>
      </c>
      <c r="E3" s="226" t="inlineStr">
        <is>
          <t>Exit Year</t>
        </is>
      </c>
    </row>
    <row r="4">
      <c r="A4" s="241" t="inlineStr">
        <is>
          <t>P&amp;L SUMMARY</t>
        </is>
      </c>
      <c r="B4" s="242" t="n"/>
      <c r="C4" s="242" t="n"/>
      <c r="D4" s="242" t="n"/>
      <c r="E4" s="242" t="n"/>
      <c r="F4" s="242" t="n"/>
    </row>
    <row r="5" outlineLevel="1">
      <c r="A5" s="145" t="inlineStr">
        <is>
          <t>Revenue</t>
        </is>
      </c>
      <c r="B5" s="146" t="n"/>
      <c r="C5" s="146" t="n"/>
      <c r="D5" s="146" t="n"/>
      <c r="E5" s="146" t="n"/>
    </row>
    <row r="6" outlineLevel="1">
      <c r="A6" s="145" t="inlineStr">
        <is>
          <t>EBITDA</t>
        </is>
      </c>
      <c r="B6" s="146" t="n"/>
      <c r="C6" s="146" t="n"/>
      <c r="D6" s="146" t="n"/>
      <c r="E6" s="146" t="n"/>
    </row>
    <row r="7" outlineLevel="1">
      <c r="A7" s="145" t="inlineStr">
        <is>
          <t>Net Income</t>
        </is>
      </c>
      <c r="B7" s="146" t="n"/>
      <c r="C7" s="146" t="n"/>
      <c r="D7" s="146" t="n"/>
      <c r="E7" s="146" t="n"/>
    </row>
    <row r="8" outlineLevel="1">
      <c r="A8" s="145" t="inlineStr">
        <is>
          <t>Gross Margin %</t>
        </is>
      </c>
      <c r="B8" s="147" t="n"/>
      <c r="C8" s="147" t="n"/>
      <c r="D8" s="147" t="n"/>
      <c r="E8" s="147" t="n"/>
    </row>
    <row r="9" outlineLevel="1">
      <c r="A9" s="145" t="inlineStr">
        <is>
          <t>EBITDA Margin %</t>
        </is>
      </c>
      <c r="B9" s="147" t="n"/>
      <c r="C9" s="147" t="n"/>
      <c r="D9" s="147" t="n"/>
      <c r="E9" s="147" t="n"/>
    </row>
    <row r="10" outlineLevel="1">
      <c r="A10" s="145" t="inlineStr">
        <is>
          <t>Net Margin %</t>
        </is>
      </c>
      <c r="B10" s="147" t="n"/>
      <c r="C10" s="147" t="n"/>
      <c r="D10" s="147" t="n"/>
      <c r="E10" s="147" t="n"/>
    </row>
    <row r="12">
      <c r="A12" s="241" t="inlineStr">
        <is>
          <t>CREDIT METRICS</t>
        </is>
      </c>
      <c r="B12" s="242" t="n"/>
      <c r="C12" s="242" t="n"/>
      <c r="D12" s="242" t="n"/>
      <c r="E12" s="242" t="n"/>
      <c r="F12" s="242" t="n"/>
    </row>
    <row r="13" outlineLevel="1">
      <c r="A13" s="145" t="inlineStr">
        <is>
          <t>Net Debt</t>
        </is>
      </c>
      <c r="B13" s="146" t="n"/>
      <c r="C13" s="146" t="n"/>
      <c r="D13" s="146" t="n"/>
      <c r="E13" s="146" t="n"/>
    </row>
    <row r="14" outlineLevel="1">
      <c r="A14" s="145" t="inlineStr">
        <is>
          <t>Net Debt / EBITDA</t>
        </is>
      </c>
      <c r="B14" s="209" t="n"/>
      <c r="C14" s="209" t="n"/>
      <c r="D14" s="209" t="n"/>
      <c r="E14" s="209" t="n"/>
    </row>
    <row r="15" outlineLevel="1">
      <c r="A15" s="145" t="inlineStr">
        <is>
          <t>Interest Coverage (EBITDA/Int)</t>
        </is>
      </c>
      <c r="B15" s="209" t="n"/>
      <c r="C15" s="209" t="n"/>
      <c r="D15" s="209" t="n"/>
      <c r="E15" s="209" t="n"/>
    </row>
    <row r="16" outlineLevel="1">
      <c r="A16" s="145" t="inlineStr">
        <is>
          <t>Debt Service Coverage</t>
        </is>
      </c>
      <c r="B16" s="209" t="n"/>
      <c r="C16" s="209" t="n"/>
      <c r="D16" s="209" t="n"/>
      <c r="E16" s="209" t="n"/>
    </row>
    <row r="17" outlineLevel="1">
      <c r="A17" s="145" t="inlineStr">
        <is>
          <t>Net Debt / Equity</t>
        </is>
      </c>
      <c r="B17" s="209" t="n"/>
      <c r="C17" s="209" t="n"/>
      <c r="D17" s="209" t="n"/>
      <c r="E17" s="209" t="n"/>
    </row>
    <row r="19">
      <c r="A19" s="241" t="inlineStr">
        <is>
          <t>RETURNS</t>
        </is>
      </c>
      <c r="B19" s="242" t="n"/>
      <c r="C19" s="242" t="n"/>
      <c r="D19" s="242" t="n"/>
      <c r="E19" s="242" t="n"/>
      <c r="F19" s="242" t="n"/>
    </row>
    <row r="20">
      <c r="A20" s="145" t="inlineStr">
        <is>
          <t>Gross IRR</t>
        </is>
      </c>
      <c r="B20" s="147" t="n"/>
    </row>
    <row r="21">
      <c r="A21" s="145" t="inlineStr">
        <is>
          <t>Gross MOIC</t>
        </is>
      </c>
      <c r="B21" s="209" t="n"/>
    </row>
    <row r="22">
      <c r="A22" s="145" t="inlineStr">
        <is>
          <t>Net IRR (after fees)</t>
        </is>
      </c>
      <c r="B22" s="147" t="n"/>
    </row>
    <row r="23">
      <c r="A23" s="145" t="inlineStr">
        <is>
          <t>Net MOIC</t>
        </is>
      </c>
      <c r="B23" s="209" t="n"/>
    </row>
    <row r="25">
      <c r="A25" s="241" t="inlineStr">
        <is>
          <t>MODEL CHECKS</t>
        </is>
      </c>
      <c r="B25" s="242" t="n"/>
      <c r="C25" s="242" t="n"/>
      <c r="D25" s="242" t="n"/>
      <c r="E25" s="242" t="n"/>
      <c r="F25" s="242" t="n"/>
    </row>
    <row r="26">
      <c r="A26" s="145" t="inlineStr">
        <is>
          <t>BS Balance</t>
        </is>
      </c>
      <c r="B26" s="149" t="inlineStr">
        <is>
          <t>PASS</t>
        </is>
      </c>
    </row>
    <row r="27">
      <c r="A27" s="145" t="inlineStr">
        <is>
          <t>Cash Tie-out</t>
        </is>
      </c>
      <c r="B27" s="149" t="inlineStr">
        <is>
          <t>PASS</t>
        </is>
      </c>
    </row>
    <row r="29">
      <c r="A29" s="264" t="inlineStr">
        <is>
          <t>Active Scenario</t>
        </is>
      </c>
      <c r="B29" s="211">
        <f>'Key Assumptions'!M1</f>
        <v/>
      </c>
    </row>
    <row r="34" outlineLevel="1"/>
    <row r="35" outlineLevel="1"/>
    <row r="36" outlineLevel="1"/>
    <row r="37" outlineLevel="1"/>
    <row r="38" outlineLevel="1"/>
    <row r="39" outlineLevel="1"/>
  </sheetData>
  <mergeCells count="5">
    <mergeCell ref="A19:F19"/>
    <mergeCell ref="A1:F1"/>
    <mergeCell ref="A12:F12"/>
    <mergeCell ref="A4:F4"/>
    <mergeCell ref="A25:F2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E60000"/>
    <outlinePr summaryBelow="1" summaryRight="1"/>
    <pageSetUpPr/>
  </sheetPr>
  <dimension ref="A1:M5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5" customWidth="1" min="1" max="1"/>
    <col width="15" customWidth="1" min="2" max="2"/>
    <col width="15" customWidth="1" min="3" max="3"/>
    <col width="15" customWidth="1" min="4" max="4"/>
    <col width="50" customWidth="1" min="5" max="5"/>
  </cols>
  <sheetData>
    <row r="1">
      <c r="A1" s="130" t="inlineStr">
        <is>
          <t>Model Integrity Check</t>
        </is>
      </c>
    </row>
    <row r="2">
      <c r="A2" s="218" t="inlineStr">
        <is>
          <t>Run this checklist after populating the model to verify integrity.</t>
        </is>
      </c>
    </row>
    <row r="3">
      <c r="A3" s="68" t="inlineStr">
        <is>
          <t>Check Item</t>
        </is>
      </c>
      <c r="B3" s="68" t="inlineStr">
        <is>
          <t>Status</t>
        </is>
      </c>
      <c r="C3" s="68" t="inlineStr">
        <is>
          <t>Value</t>
        </is>
      </c>
      <c r="D3" s="68" t="inlineStr">
        <is>
          <t>Expected</t>
        </is>
      </c>
      <c r="E3" s="68" t="inlineStr">
        <is>
          <t>Details</t>
        </is>
      </c>
    </row>
    <row r="4">
      <c r="A4" s="85" t="inlineStr">
        <is>
          <t>BALANCE SHEET CHECKS</t>
        </is>
      </c>
    </row>
    <row r="5" outlineLevel="1">
      <c r="A5" s="145" t="inlineStr">
        <is>
          <t>BS Balance: Total Assets = Total L + E</t>
        </is>
      </c>
      <c r="B5" s="150">
        <f>'Balance Sheet'!D39</f>
        <v/>
      </c>
      <c r="C5" s="145" t="inlineStr">
        <is>
          <t>0</t>
        </is>
      </c>
      <c r="D5" s="145" t="inlineStr">
        <is>
          <t>0</t>
        </is>
      </c>
      <c r="E5" s="2">
        <f>IF(ABS(B5)&lt;0.01,"PASS","FAIL")</f>
        <v/>
      </c>
    </row>
    <row r="6" outlineLevel="1">
      <c r="A6" s="145" t="inlineStr">
        <is>
          <t>BS Balance: FY2024</t>
        </is>
      </c>
      <c r="B6" s="150">
        <f>'Balance Sheet'!E39</f>
        <v/>
      </c>
      <c r="C6" s="145" t="inlineStr">
        <is>
          <t>0</t>
        </is>
      </c>
      <c r="D6" s="145" t="inlineStr">
        <is>
          <t>0</t>
        </is>
      </c>
      <c r="E6" s="2">
        <f>IF(ABS(B6)&lt;0.01,"PASS","FAIL")</f>
        <v/>
      </c>
    </row>
    <row r="7" outlineLevel="1">
      <c r="A7" s="145" t="inlineStr">
        <is>
          <t>BS Balance: FY2025</t>
        </is>
      </c>
      <c r="B7" s="150">
        <f>'Balance Sheet'!F39</f>
        <v/>
      </c>
      <c r="C7" s="145" t="inlineStr">
        <is>
          <t>0</t>
        </is>
      </c>
      <c r="D7" s="145" t="inlineStr">
        <is>
          <t>0</t>
        </is>
      </c>
      <c r="E7" s="2">
        <f>IF(ABS(B7)&lt;0.01,"PASS","FAIL")</f>
        <v/>
      </c>
    </row>
    <row r="8" outlineLevel="1">
      <c r="A8" s="145" t="inlineStr">
        <is>
          <t>BS Balance: FY2026E</t>
        </is>
      </c>
      <c r="B8" s="150">
        <f>'Balance Sheet'!G39</f>
        <v/>
      </c>
      <c r="C8" s="145" t="inlineStr">
        <is>
          <t>0</t>
        </is>
      </c>
      <c r="D8" s="145" t="inlineStr">
        <is>
          <t>0</t>
        </is>
      </c>
      <c r="E8" s="2">
        <f>IF(ABS(B8)&lt;0.01,"PASS","FAIL")</f>
        <v/>
      </c>
    </row>
    <row r="9" outlineLevel="1">
      <c r="A9" s="145" t="inlineStr">
        <is>
          <t>BS Balance: FY2027E</t>
        </is>
      </c>
      <c r="B9" s="150">
        <f>'Balance Sheet'!H39</f>
        <v/>
      </c>
      <c r="C9" s="145" t="inlineStr">
        <is>
          <t>0</t>
        </is>
      </c>
      <c r="D9" s="145" t="inlineStr">
        <is>
          <t>0</t>
        </is>
      </c>
      <c r="E9" s="2">
        <f>IF(ABS(B9)&lt;0.01,"PASS","FAIL")</f>
        <v/>
      </c>
    </row>
    <row r="10" outlineLevel="1">
      <c r="A10" s="145" t="inlineStr">
        <is>
          <t>BS Balance: FY2028E</t>
        </is>
      </c>
      <c r="B10" s="150">
        <f>'Balance Sheet'!I39</f>
        <v/>
      </c>
      <c r="C10" s="145" t="inlineStr">
        <is>
          <t>0</t>
        </is>
      </c>
      <c r="D10" s="145" t="inlineStr">
        <is>
          <t>0</t>
        </is>
      </c>
      <c r="E10" s="2">
        <f>IF(ABS(B10)&lt;0.01,"PASS","FAIL")</f>
        <v/>
      </c>
    </row>
    <row r="11" outlineLevel="1">
      <c r="A11" s="145" t="inlineStr">
        <is>
          <t>BS Balance: FY2029E</t>
        </is>
      </c>
      <c r="B11" s="150">
        <f>'Balance Sheet'!J39</f>
        <v/>
      </c>
      <c r="C11" s="145" t="inlineStr">
        <is>
          <t>0</t>
        </is>
      </c>
      <c r="D11" s="145" t="inlineStr">
        <is>
          <t>0</t>
        </is>
      </c>
      <c r="E11" s="2">
        <f>IF(ABS(B11)&lt;0.01,"PASS","FAIL")</f>
        <v/>
      </c>
    </row>
    <row r="12" outlineLevel="1">
      <c r="A12" s="145" t="inlineStr">
        <is>
          <t>BS Balance: FY2030E-FY2032E</t>
        </is>
      </c>
      <c r="B12" s="150" t="inlineStr">
        <is>
          <t>Check remaining years</t>
        </is>
      </c>
      <c r="C12" s="145" t="inlineStr">
        <is>
          <t>0</t>
        </is>
      </c>
      <c r="D12" s="145" t="inlineStr">
        <is>
          <t>0</t>
        </is>
      </c>
      <c r="E12" s="145" t="inlineStr">
        <is>
          <t>All forecast years must balance</t>
        </is>
      </c>
    </row>
    <row r="13"/>
    <row r="14">
      <c r="A14" s="85" t="inlineStr">
        <is>
          <t>CASH FLOW CHECKS</t>
        </is>
      </c>
    </row>
    <row r="15" outlineLevel="1">
      <c r="A15" s="145" t="inlineStr">
        <is>
          <t>Cash Tie-out: CF Ending Cash = BS Cash</t>
        </is>
      </c>
      <c r="B15" s="150">
        <f>'Cash Flow Statement'!D32</f>
        <v/>
      </c>
      <c r="C15" s="145" t="inlineStr">
        <is>
          <t>0</t>
        </is>
      </c>
      <c r="D15" s="145" t="inlineStr">
        <is>
          <t>0</t>
        </is>
      </c>
      <c r="E15" s="2">
        <f>IF(ABS(B15)&lt;0.01,"PASS","FAIL")</f>
        <v/>
      </c>
    </row>
    <row r="16" outlineLevel="1">
      <c r="A16" s="145" t="inlineStr">
        <is>
          <t>Cash Tie-out: FY2024</t>
        </is>
      </c>
      <c r="B16" s="150">
        <f>'Cash Flow Statement'!E32</f>
        <v/>
      </c>
      <c r="C16" s="145" t="inlineStr">
        <is>
          <t>0</t>
        </is>
      </c>
      <c r="D16" s="145" t="inlineStr">
        <is>
          <t>0</t>
        </is>
      </c>
      <c r="E16" s="2">
        <f>IF(ABS(B16)&lt;0.01,"PASS","FAIL")</f>
        <v/>
      </c>
    </row>
    <row r="17" outlineLevel="1">
      <c r="A17" s="145" t="inlineStr">
        <is>
          <t>Cash Tie-out: FY2025</t>
        </is>
      </c>
      <c r="B17" s="150">
        <f>'Cash Flow Statement'!F32</f>
        <v/>
      </c>
      <c r="C17" s="145" t="inlineStr">
        <is>
          <t>0</t>
        </is>
      </c>
      <c r="D17" s="145" t="inlineStr">
        <is>
          <t>0</t>
        </is>
      </c>
      <c r="E17" s="2">
        <f>IF(ABS(B17)&lt;0.01,"PASS","FAIL")</f>
        <v/>
      </c>
    </row>
    <row r="18" outlineLevel="1">
      <c r="A18" s="145" t="inlineStr">
        <is>
          <t>Cash Tie-out: FY2026E-FY2032E</t>
        </is>
      </c>
      <c r="B18" s="150" t="inlineStr">
        <is>
          <t>Check all forecast years</t>
        </is>
      </c>
      <c r="C18" s="145" t="inlineStr">
        <is>
          <t>0</t>
        </is>
      </c>
      <c r="D18" s="145" t="inlineStr">
        <is>
          <t>0</t>
        </is>
      </c>
      <c r="E18" s="145" t="inlineStr">
        <is>
          <t>All years must tie out</t>
        </is>
      </c>
    </row>
    <row r="19" outlineLevel="1">
      <c r="A19" s="145" t="inlineStr">
        <is>
          <t>Beginning Cash = Prior Ending Cash</t>
        </is>
      </c>
      <c r="B19" s="150" t="inlineStr">
        <is>
          <t>Verify continuity</t>
        </is>
      </c>
      <c r="C19" s="145" t="inlineStr">
        <is>
          <t>0</t>
        </is>
      </c>
      <c r="D19" s="145" t="inlineStr">
        <is>
          <t>0</t>
        </is>
      </c>
      <c r="E19" s="145" t="inlineStr">
        <is>
          <t>No breaks in cash waterfall</t>
        </is>
      </c>
    </row>
    <row r="20"/>
    <row r="21">
      <c r="A21" s="85" t="inlineStr">
        <is>
          <t>INCOME STATEMENT CHECKS</t>
        </is>
      </c>
    </row>
    <row r="22" outlineLevel="1">
      <c r="A22" s="145" t="inlineStr">
        <is>
          <t>Revenue = Sum of Segments</t>
        </is>
      </c>
      <c r="B22" s="150" t="inlineStr">
        <is>
          <t>Rev Build-up Total vs IS Revenue</t>
        </is>
      </c>
      <c r="C22" s="145" t="inlineStr">
        <is>
          <t>0</t>
        </is>
      </c>
      <c r="D22" s="145" t="inlineStr">
        <is>
          <t>0</t>
        </is>
      </c>
      <c r="E22" s="145" t="inlineStr">
        <is>
          <t>Bottom-up must match IS top line</t>
        </is>
      </c>
    </row>
    <row r="23" outlineLevel="1">
      <c r="A23" s="145" t="inlineStr">
        <is>
          <t>COGS ≤ Revenue (Gross Margin &gt; 0)</t>
        </is>
      </c>
      <c r="B23" s="150" t="inlineStr">
        <is>
          <t>Check all years</t>
        </is>
      </c>
      <c r="C23" s="145" t="inlineStr">
        <is>
          <t>&gt;0%</t>
        </is>
      </c>
      <c r="D23" s="145" t="inlineStr">
        <is>
          <t>&gt;0%</t>
        </is>
      </c>
      <c r="E23" s="145" t="inlineStr">
        <is>
          <t>Negative gross margin = red flag</t>
        </is>
      </c>
    </row>
    <row r="24" outlineLevel="1">
      <c r="A24" s="145" t="inlineStr">
        <is>
          <t>EBITDA = EBIT + D&amp;A</t>
        </is>
      </c>
      <c r="B24" s="150" t="inlineStr">
        <is>
          <t>Verify formula integrity</t>
        </is>
      </c>
      <c r="C24" s="145" t="inlineStr">
        <is>
          <t>0</t>
        </is>
      </c>
      <c r="D24" s="145" t="inlineStr">
        <is>
          <t>0</t>
        </is>
      </c>
      <c r="E24" s="145" t="inlineStr">
        <is>
          <t>EBITDA decomposition must be correct</t>
        </is>
      </c>
    </row>
    <row r="25" outlineLevel="1">
      <c r="A25" s="145" t="inlineStr">
        <is>
          <t>Tax = EBT × Tax Rate</t>
        </is>
      </c>
      <c r="B25" s="150" t="inlineStr">
        <is>
          <t>Verify tax calc</t>
        </is>
      </c>
      <c r="C25" s="145" t="inlineStr">
        <is>
          <t>0</t>
        </is>
      </c>
      <c r="D25" s="145" t="inlineStr">
        <is>
          <t>0</t>
        </is>
      </c>
      <c r="E25" s="145" t="inlineStr">
        <is>
          <t>No tax when EBT is negative</t>
        </is>
      </c>
    </row>
    <row r="26" outlineLevel="1">
      <c r="A26" s="145" t="inlineStr">
        <is>
          <t>Net Income = EBT - Tax</t>
        </is>
      </c>
      <c r="B26" s="150" t="inlineStr">
        <is>
          <t>Verify bottom line</t>
        </is>
      </c>
      <c r="C26" s="145" t="inlineStr">
        <is>
          <t>0</t>
        </is>
      </c>
      <c r="D26" s="145" t="inlineStr">
        <is>
          <t>0</t>
        </is>
      </c>
      <c r="E26" s="145" t="inlineStr">
        <is>
          <t>Final NI formula check</t>
        </is>
      </c>
    </row>
    <row r="27"/>
    <row r="28">
      <c r="A28" s="85" t="inlineStr">
        <is>
          <t>WORKING CAPITAL CHECKS</t>
        </is>
      </c>
    </row>
    <row r="29" outlineLevel="1">
      <c r="A29" s="145" t="inlineStr">
        <is>
          <t>AR Days reasonable (0-180)</t>
        </is>
      </c>
      <c r="B29" s="150" t="inlineStr">
        <is>
          <t>Check all forecast years</t>
        </is>
      </c>
      <c r="C29" s="145" t="inlineStr">
        <is>
          <t>0-180</t>
        </is>
      </c>
      <c r="D29" s="145" t="inlineStr">
        <is>
          <t>0-180</t>
        </is>
      </c>
      <c r="E29" s="145" t="inlineStr">
        <is>
          <t>AR days outside range = input error</t>
        </is>
      </c>
    </row>
    <row r="30" outlineLevel="1">
      <c r="A30" s="145" t="inlineStr">
        <is>
          <t>AP Days reasonable (0-180)</t>
        </is>
      </c>
      <c r="B30" s="150" t="inlineStr">
        <is>
          <t>Check all forecast years</t>
        </is>
      </c>
      <c r="C30" s="145" t="inlineStr">
        <is>
          <t>0-180</t>
        </is>
      </c>
      <c r="D30" s="145" t="inlineStr">
        <is>
          <t>0-180</t>
        </is>
      </c>
      <c r="E30" s="145" t="inlineStr">
        <is>
          <t>AP days outside range = input error</t>
        </is>
      </c>
    </row>
    <row r="31" outlineLevel="1">
      <c r="A31" s="145" t="inlineStr">
        <is>
          <t>Inventory Days reasonable (0-365)</t>
        </is>
      </c>
      <c r="B31" s="150" t="inlineStr">
        <is>
          <t>Check all forecast years</t>
        </is>
      </c>
      <c r="C31" s="145" t="inlineStr">
        <is>
          <t>0-365</t>
        </is>
      </c>
      <c r="D31" s="145" t="inlineStr">
        <is>
          <t>0-365</t>
        </is>
      </c>
      <c r="E31" s="145" t="inlineStr">
        <is>
          <t>Inventory days outside range = input error</t>
        </is>
      </c>
    </row>
    <row r="32" outlineLevel="1">
      <c r="A32" s="145" t="inlineStr">
        <is>
          <t>CCC = AR + Inv - AP</t>
        </is>
      </c>
      <c r="B32" s="150" t="inlineStr">
        <is>
          <t>Verify formula</t>
        </is>
      </c>
      <c r="C32" s="145" t="inlineStr">
        <is>
          <t>Positive</t>
        </is>
      </c>
      <c r="D32" s="145" t="inlineStr">
        <is>
          <t>Positive</t>
        </is>
      </c>
      <c r="E32" s="145" t="inlineStr">
        <is>
          <t>Negative CCC unusual for most industries</t>
        </is>
      </c>
    </row>
    <row r="33" outlineLevel="1">
      <c r="A33" s="145" t="inlineStr">
        <is>
          <t>WC change sign matches delta in accounts</t>
        </is>
      </c>
      <c r="B33" s="150" t="inlineStr">
        <is>
          <t>BS ΔAR vs CF ΔAR</t>
        </is>
      </c>
      <c r="C33" s="145" t="inlineStr">
        <is>
          <t>0</t>
        </is>
      </c>
      <c r="D33" s="145" t="inlineStr">
        <is>
          <t>0</t>
        </is>
      </c>
      <c r="E33" s="145" t="inlineStr">
        <is>
          <t>Direction must be consistent</t>
        </is>
      </c>
    </row>
    <row r="34"/>
    <row r="35">
      <c r="A35" s="85" t="inlineStr">
        <is>
          <t>CROSS-SHEET LINKAGE CHECKS</t>
        </is>
      </c>
    </row>
    <row r="36" outlineLevel="1">
      <c r="A36" s="145" t="inlineStr">
        <is>
          <t>IS Revenue = Revenue Build-up Total</t>
        </is>
      </c>
      <c r="B36" s="150" t="inlineStr">
        <is>
          <t>Compare sheets</t>
        </is>
      </c>
      <c r="C36" s="145" t="inlineStr">
        <is>
          <t>0</t>
        </is>
      </c>
      <c r="D36" s="145" t="inlineStr">
        <is>
          <t>0</t>
        </is>
      </c>
      <c r="E36" s="145" t="inlineStr">
        <is>
          <t>Revenue must flow correctly</t>
        </is>
      </c>
    </row>
    <row r="37" outlineLevel="1">
      <c r="A37" s="145" t="inlineStr">
        <is>
          <t>IS COGS = Key Assumptions Total COGS</t>
        </is>
      </c>
      <c r="B37" s="150" t="inlineStr">
        <is>
          <t>Compare sheets</t>
        </is>
      </c>
      <c r="C37" s="145" t="inlineStr">
        <is>
          <t>0</t>
        </is>
      </c>
      <c r="D37" s="145" t="inlineStr">
        <is>
          <t>0</t>
        </is>
      </c>
      <c r="E37" s="145" t="inlineStr">
        <is>
          <t>COGS linkage</t>
        </is>
      </c>
    </row>
    <row r="38" outlineLevel="1">
      <c r="A38" s="145" t="inlineStr">
        <is>
          <t>IS Interest = Debt &amp; CapEx Interest Expense</t>
        </is>
      </c>
      <c r="B38" s="150" t="inlineStr">
        <is>
          <t>Compare sheets</t>
        </is>
      </c>
      <c r="C38" s="145" t="inlineStr">
        <is>
          <t>0</t>
        </is>
      </c>
      <c r="D38" s="145" t="inlineStr">
        <is>
          <t>0</t>
        </is>
      </c>
      <c r="E38" s="145" t="inlineStr">
        <is>
          <t>Interest expense linkage</t>
        </is>
      </c>
    </row>
    <row r="39" outlineLevel="1">
      <c r="A39" s="145" t="inlineStr">
        <is>
          <t>BS PP&amp;E = Debt &amp; CapEx Net PP&amp;E</t>
        </is>
      </c>
      <c r="B39" s="150" t="inlineStr">
        <is>
          <t>Compare sheets</t>
        </is>
      </c>
      <c r="C39" s="145" t="inlineStr">
        <is>
          <t>0</t>
        </is>
      </c>
      <c r="D39" s="145" t="inlineStr">
        <is>
          <t>0</t>
        </is>
      </c>
      <c r="E39" s="145" t="inlineStr">
        <is>
          <t>Fixed asset linkage</t>
        </is>
      </c>
    </row>
    <row r="40" outlineLevel="1">
      <c r="A40" s="145" t="inlineStr">
        <is>
          <t>BS ST Debt = Debt &amp; CapEx ST Portion</t>
        </is>
      </c>
      <c r="B40" s="150" t="inlineStr">
        <is>
          <t>Compare sheets</t>
        </is>
      </c>
      <c r="C40" s="145" t="inlineStr">
        <is>
          <t>0</t>
        </is>
      </c>
      <c r="D40" s="145" t="inlineStr">
        <is>
          <t>0</t>
        </is>
      </c>
      <c r="E40" s="145" t="inlineStr">
        <is>
          <t>Debt classification</t>
        </is>
      </c>
    </row>
    <row r="41" outlineLevel="1">
      <c r="A41" s="145" t="inlineStr">
        <is>
          <t>BS LT Debt = Debt &amp; CapEx LT Portion</t>
        </is>
      </c>
      <c r="B41" s="150" t="inlineStr">
        <is>
          <t>Compare sheets</t>
        </is>
      </c>
      <c r="C41" s="145" t="inlineStr">
        <is>
          <t>0</t>
        </is>
      </c>
      <c r="D41" s="145" t="inlineStr">
        <is>
          <t>0</t>
        </is>
      </c>
      <c r="E41" s="145" t="inlineStr">
        <is>
          <t>Debt classification</t>
        </is>
      </c>
    </row>
    <row r="42" outlineLevel="1">
      <c r="A42" s="145" t="inlineStr">
        <is>
          <t>CF CapEx = Debt &amp; CapEx Total CapEx</t>
        </is>
      </c>
      <c r="B42" s="150" t="inlineStr">
        <is>
          <t>Compare sheets</t>
        </is>
      </c>
      <c r="C42" s="145" t="inlineStr">
        <is>
          <t>0</t>
        </is>
      </c>
      <c r="D42" s="145" t="inlineStr">
        <is>
          <t>0</t>
        </is>
      </c>
      <c r="E42" s="145" t="inlineStr">
        <is>
          <t>CapEx linkage</t>
        </is>
      </c>
    </row>
    <row r="43" outlineLevel="1">
      <c r="A43" s="145" t="inlineStr">
        <is>
          <t>CF D&amp;A = Debt &amp; CapEx Total D&amp;A</t>
        </is>
      </c>
      <c r="B43" s="150" t="inlineStr">
        <is>
          <t>Compare sheets</t>
        </is>
      </c>
      <c r="C43" s="145" t="inlineStr">
        <is>
          <t>0</t>
        </is>
      </c>
      <c r="D43" s="145" t="inlineStr">
        <is>
          <t>0</t>
        </is>
      </c>
      <c r="E43" s="145" t="inlineStr">
        <is>
          <t>D&amp;A linkage</t>
        </is>
      </c>
    </row>
    <row r="44" outlineLevel="1">
      <c r="A44" s="145" t="inlineStr">
        <is>
          <t>DCF EBIT = IS EBIT</t>
        </is>
      </c>
      <c r="B44" s="150" t="inlineStr">
        <is>
          <t>Compare sheets</t>
        </is>
      </c>
      <c r="C44" s="145" t="inlineStr">
        <is>
          <t>0</t>
        </is>
      </c>
      <c r="D44" s="145" t="inlineStr">
        <is>
          <t>0</t>
        </is>
      </c>
      <c r="E44" s="145" t="inlineStr">
        <is>
          <t>DCF input consistency</t>
        </is>
      </c>
    </row>
    <row r="45" outlineLevel="1">
      <c r="A45" s="145" t="inlineStr">
        <is>
          <t>Return Exit Rev/NI = IS projected values</t>
        </is>
      </c>
      <c r="B45" s="150" t="inlineStr">
        <is>
          <t>Compare sheets</t>
        </is>
      </c>
      <c r="C45" s="145" t="inlineStr">
        <is>
          <t>0</t>
        </is>
      </c>
      <c r="D45" s="145" t="inlineStr">
        <is>
          <t>0</t>
        </is>
      </c>
      <c r="E45" s="145" t="inlineStr">
        <is>
          <t>Return analysis inputs</t>
        </is>
      </c>
    </row>
    <row r="46"/>
    <row r="47">
      <c r="A47" s="85" t="inlineStr">
        <is>
          <t>REASONABLENESS CHECKS</t>
        </is>
      </c>
    </row>
    <row r="48" outlineLevel="1">
      <c r="A48" s="145" t="inlineStr">
        <is>
          <t>Revenue Growth &lt; 100% YoY</t>
        </is>
      </c>
      <c r="B48" s="150" t="inlineStr">
        <is>
          <t>Flag hyper-growth</t>
        </is>
      </c>
      <c r="C48" s="145" t="inlineStr">
        <is>
          <t>&lt;100%</t>
        </is>
      </c>
      <c r="D48" s="145" t="inlineStr">
        <is>
          <t>&lt;100%</t>
        </is>
      </c>
      <c r="E48" s="145" t="inlineStr">
        <is>
          <t>Growth &gt;100% needs explicit justification</t>
        </is>
      </c>
    </row>
    <row r="49" outlineLevel="1">
      <c r="A49" s="145" t="inlineStr">
        <is>
          <t>Gross Margin 0-80%</t>
        </is>
      </c>
      <c r="B49" s="150" t="inlineStr">
        <is>
          <t>Flag abnormal margins</t>
        </is>
      </c>
      <c r="C49" s="145" t="inlineStr">
        <is>
          <t>0-80%</t>
        </is>
      </c>
      <c r="D49" s="145" t="inlineStr">
        <is>
          <t>0-80%</t>
        </is>
      </c>
      <c r="E49" s="145" t="inlineStr">
        <is>
          <t>Outside range = verify cost assumptions</t>
        </is>
      </c>
    </row>
    <row r="50" outlineLevel="1">
      <c r="A50" s="145" t="inlineStr">
        <is>
          <t>EBITDA Margin -20% to 60%</t>
        </is>
      </c>
      <c r="B50" s="150" t="inlineStr">
        <is>
          <t>Flag outliers</t>
        </is>
      </c>
      <c r="C50" s="145" t="inlineStr">
        <is>
          <t>-20% to 60%</t>
        </is>
      </c>
      <c r="D50" s="145" t="inlineStr">
        <is>
          <t>-20% to 60%</t>
        </is>
      </c>
      <c r="E50" s="145" t="inlineStr">
        <is>
          <t>Extreme margins need validation</t>
        </is>
      </c>
    </row>
    <row r="51" outlineLevel="1">
      <c r="A51" s="145" t="inlineStr">
        <is>
          <t>CapEx as % of Revenue &lt; 50%</t>
        </is>
      </c>
      <c r="B51" s="150" t="inlineStr">
        <is>
          <t>Flag heavy CapEx</t>
        </is>
      </c>
      <c r="C51" s="145" t="inlineStr">
        <is>
          <t>&lt;50%</t>
        </is>
      </c>
      <c r="D51" s="145" t="inlineStr">
        <is>
          <t>&lt;50%</t>
        </is>
      </c>
      <c r="E51" s="145" t="inlineStr">
        <is>
          <t>Capital intensity check</t>
        </is>
      </c>
    </row>
    <row r="52" outlineLevel="1">
      <c r="A52" s="145" t="inlineStr">
        <is>
          <t>Debt / Equity ratio &lt; 5x</t>
        </is>
      </c>
      <c r="B52" s="150" t="inlineStr">
        <is>
          <t>Leverage check</t>
        </is>
      </c>
      <c r="C52" s="145" t="inlineStr">
        <is>
          <t>&lt;5x</t>
        </is>
      </c>
      <c r="D52" s="145" t="inlineStr">
        <is>
          <t>&lt;5x</t>
        </is>
      </c>
      <c r="E52" s="145" t="inlineStr">
        <is>
          <t>High leverage = increased risk</t>
        </is>
      </c>
    </row>
    <row r="53" outlineLevel="1">
      <c r="A53" s="145" t="inlineStr">
        <is>
          <t>Interest Coverage &gt; 1x</t>
        </is>
      </c>
      <c r="B53" s="150" t="inlineStr">
        <is>
          <t>EBIT / Interest</t>
        </is>
      </c>
      <c r="C53" s="145" t="inlineStr">
        <is>
          <t>&gt;1x</t>
        </is>
      </c>
      <c r="D53" s="145" t="inlineStr">
        <is>
          <t>&gt;1x</t>
        </is>
      </c>
      <c r="E53" s="145" t="inlineStr">
        <is>
          <t>Below 1x = cannot service debt</t>
        </is>
      </c>
    </row>
    <row r="54" outlineLevel="1">
      <c r="A54" s="145" t="inlineStr">
        <is>
          <t>TAM Top-down vs Bottom-up &lt; 10% variance</t>
        </is>
      </c>
      <c r="B54" s="150" t="inlineStr">
        <is>
          <t>Cross-check</t>
        </is>
      </c>
      <c r="C54" s="145" t="inlineStr">
        <is>
          <t>&lt;10%</t>
        </is>
      </c>
      <c r="D54" s="145" t="inlineStr">
        <is>
          <t>&lt;10%</t>
        </is>
      </c>
      <c r="E54" s="145" t="inlineStr">
        <is>
          <t>Large variance = flawed assumptions</t>
        </is>
      </c>
    </row>
    <row r="55" outlineLevel="1">
      <c r="A55" s="145" t="inlineStr">
        <is>
          <t>FCF positive in terminal year</t>
        </is>
      </c>
      <c r="B55" s="150" t="inlineStr">
        <is>
          <t>DCF requirement</t>
        </is>
      </c>
      <c r="C55" s="145" t="inlineStr">
        <is>
          <t>&gt;0</t>
        </is>
      </c>
      <c r="D55" s="145" t="inlineStr">
        <is>
          <t>&gt;0</t>
        </is>
      </c>
      <c r="E55" s="145" t="inlineStr">
        <is>
          <t>Negative terminal FCF invalidates Gordon Growth</t>
        </is>
      </c>
    </row>
  </sheetData>
  <mergeCells count="7">
    <mergeCell ref="A21:E21"/>
    <mergeCell ref="A35:E35"/>
    <mergeCell ref="A4:E4"/>
    <mergeCell ref="A1:M1"/>
    <mergeCell ref="A28:E28"/>
    <mergeCell ref="A47:E47"/>
    <mergeCell ref="A14:E14"/>
  </mergeCells>
  <conditionalFormatting sqref="E5:E55">
    <cfRule type="cellIs" priority="1" operator="equal" dxfId="2">
      <formula>"PASS"</formula>
    </cfRule>
    <cfRule type="cellIs" priority="2" operator="equal" dxfId="3">
      <formula>"FAIL"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2026-03-17T05:10:02Z</dcterms:created>
  <dcterms:modified xmlns:dcterms="http://purl.org/dc/terms/" xmlns:xsi="http://www.w3.org/2001/XMLSchema-instance" xsi:type="dcterms:W3CDTF">2026-03-17T06:07:06Z</dcterms:modified>
</cp:coreProperties>
</file>